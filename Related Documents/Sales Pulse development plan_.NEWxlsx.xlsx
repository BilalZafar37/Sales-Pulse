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faisaliahgroup-my.sharepoint.com/personal/biqbal_modern-electronics_com/Documents/Sales Pulse (Sell-out Tracking for Finance)/Related Documents/"/>
    </mc:Choice>
  </mc:AlternateContent>
  <xr:revisionPtr revIDLastSave="6" documentId="8_{8482A9C9-4419-4866-8796-C2369C786755}" xr6:coauthVersionLast="47" xr6:coauthVersionMax="47" xr10:uidLastSave="{A184FA02-1BAC-4C64-927B-95FDDF78A607}"/>
  <bookViews>
    <workbookView xWindow="-120" yWindow="-120" windowWidth="29040" windowHeight="15720" xr2:uid="{B4C67E34-374C-40B6-B257-62F7C80CC0D3}"/>
  </bookViews>
  <sheets>
    <sheet name="Development Doc" sheetId="1" r:id="rId1"/>
    <sheet name="Velocity" sheetId="5" r:id="rId2"/>
    <sheet name="Wireframes" sheetId="2" r:id="rId3"/>
    <sheet name="Adil-Bhi Related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5" l="1"/>
  <c r="J4" i="5" s="1"/>
  <c r="H4" i="5"/>
  <c r="G4" i="5"/>
  <c r="F4" i="5"/>
  <c r="G3" i="5"/>
  <c r="F3" i="5"/>
  <c r="I3" i="5" s="1"/>
  <c r="J3" i="5" s="1"/>
  <c r="I2" i="5"/>
  <c r="J2" i="5" s="1"/>
  <c r="H2" i="5"/>
  <c r="G2" i="5"/>
  <c r="F2" i="5"/>
  <c r="H3" i="5" l="1"/>
</calcChain>
</file>

<file path=xl/sharedStrings.xml><?xml version="1.0" encoding="utf-8"?>
<sst xmlns="http://schemas.openxmlformats.org/spreadsheetml/2006/main" count="479" uniqueCount="255">
  <si>
    <t xml:space="preserve">KEY INITIATIVE #1:  </t>
  </si>
  <si>
    <t>Planning and initial data gathering</t>
  </si>
  <si>
    <t xml:space="preserve">Create project plans and agree upon general details with concerned departments. </t>
  </si>
  <si>
    <t>Establish forecasting module to facilitate accurate monthly sales planning.</t>
  </si>
  <si>
    <t>General Details Module. Aggregates data from previous modules, capturing expected vs. actual sell-out and dynamically calculating SOH (expected SOH).</t>
  </si>
  <si>
    <t>User access control: Brand, Customer, Category based</t>
  </si>
  <si>
    <t>Project requirements</t>
  </si>
  <si>
    <t>Subject</t>
  </si>
  <si>
    <t>Current status</t>
  </si>
  <si>
    <t>Remarks</t>
  </si>
  <si>
    <t>SQL Server Integration</t>
  </si>
  <si>
    <t>Tested</t>
  </si>
  <si>
    <t>Existing MCSI database</t>
  </si>
  <si>
    <t xml:space="preserve">Excel (PANDAS) Integration for Sell Out reports download and upload.                                        </t>
  </si>
  <si>
    <t>Development required</t>
  </si>
  <si>
    <t>Python (Flask) for backend</t>
  </si>
  <si>
    <t>Installed</t>
  </si>
  <si>
    <t>Pandas Library</t>
  </si>
  <si>
    <t>Secure data management tools</t>
  </si>
  <si>
    <t>To ensure data protection compliance</t>
  </si>
  <si>
    <t>Project Time lines</t>
  </si>
  <si>
    <t>ECD</t>
  </si>
  <si>
    <t xml:space="preserve">Modules development </t>
  </si>
  <si>
    <t>All Module QA readiness</t>
  </si>
  <si>
    <t xml:space="preserve">Domain/Hosting &amp; security clearance </t>
  </si>
  <si>
    <t>Subjected to AFG (will apply by end of July</t>
  </si>
  <si>
    <t>Testing and bug fixes</t>
  </si>
  <si>
    <t xml:space="preserve">User training </t>
  </si>
  <si>
    <t>Production deployment</t>
  </si>
  <si>
    <t>Promotional Method Module</t>
  </si>
  <si>
    <t>Sr</t>
  </si>
  <si>
    <t>Create Sell Out module with Excel upload/download functionality and SOH and feature. (HO &amp; CO)</t>
  </si>
  <si>
    <r>
      <t xml:space="preserve">Develop </t>
    </r>
    <r>
      <rPr>
        <b/>
        <sz val="11"/>
        <color theme="1"/>
        <rFont val="Verdana"/>
        <family val="2"/>
      </rPr>
      <t xml:space="preserve">One Time </t>
    </r>
    <r>
      <rPr>
        <sz val="11"/>
        <color theme="1"/>
        <rFont val="Verdana"/>
        <family val="2"/>
      </rPr>
      <t>Stock on Hand (SOH) input interface and tracking logic. (HO &amp; CO)</t>
    </r>
  </si>
  <si>
    <r>
      <t xml:space="preserve">Develop </t>
    </r>
    <r>
      <rPr>
        <b/>
        <sz val="11"/>
        <color theme="1"/>
        <rFont val="Verdana"/>
        <family val="2"/>
      </rPr>
      <t>Regular</t>
    </r>
    <r>
      <rPr>
        <sz val="11"/>
        <color theme="1"/>
        <rFont val="Verdana"/>
        <family val="2"/>
      </rPr>
      <t xml:space="preserve"> Stock on Hand (SOH) input interface and tracking logic. (HO &amp; CO)</t>
    </r>
  </si>
  <si>
    <t>Implement Sell In module, integrating existing sales data. (Sell IN &amp; Customer Returns)</t>
  </si>
  <si>
    <t>Module for SKU Mapping between MECL &amp; Customers</t>
  </si>
  <si>
    <t>i. 2 tables one for HO and One for Cust. Codes with Unique IDs</t>
  </si>
  <si>
    <t>Create/Add HO/Cust code</t>
  </si>
  <si>
    <t>ii. One main mapping tables that will contain the relations</t>
  </si>
  <si>
    <t>Front End</t>
  </si>
  <si>
    <t>ii. Option to select an HO to add a Cust. Code to it.</t>
  </si>
  <si>
    <t>i.  Option to add a new HO</t>
  </si>
  <si>
    <t>i.Issue ( missing data after last schedule in current MSCI)</t>
  </si>
  <si>
    <t>ii. One hour window for API to run</t>
  </si>
  <si>
    <t>iii. 3 times a day API schedule Current(12:15 PM)(4:30 PM)(09:00 AM)</t>
  </si>
  <si>
    <t>General Sell-In report</t>
  </si>
  <si>
    <t>i. Dynamic filters for all columns (Real-time)</t>
  </si>
  <si>
    <t>ii. Excel export with filters</t>
  </si>
  <si>
    <r>
      <t>Sell_in = Sell_in</t>
    </r>
    <r>
      <rPr>
        <b/>
        <sz val="11"/>
        <color rgb="FFFF0000"/>
        <rFont val="Calibri"/>
        <family val="2"/>
        <scheme val="minor"/>
      </rPr>
      <t>-</t>
    </r>
    <r>
      <rPr>
        <sz val="11"/>
        <color theme="5" tint="-0.249977111117893"/>
        <rFont val="Calibri"/>
        <family val="2"/>
        <scheme val="minor"/>
      </rPr>
      <t>Returns</t>
    </r>
  </si>
  <si>
    <t>3-Implement Sell In module, integrating existing sales data. (Sell IN &amp; Customer Returns)</t>
  </si>
  <si>
    <t>HO-Level/Cust-code level</t>
  </si>
  <si>
    <r>
      <t>v. Sell-in start date for that HO code from date of one time SOH (Delete the rest)(</t>
    </r>
    <r>
      <rPr>
        <sz val="11"/>
        <color theme="5" tint="-0.249977111117893"/>
        <rFont val="Calibri"/>
        <family val="2"/>
        <scheme val="minor"/>
      </rPr>
      <t>LINKED TO MODULE 5</t>
    </r>
    <r>
      <rPr>
        <sz val="11"/>
        <color theme="1"/>
        <rFont val="Calibri"/>
        <family val="2"/>
        <scheme val="minor"/>
      </rPr>
      <t>)</t>
    </r>
  </si>
  <si>
    <t xml:space="preserve">Date </t>
  </si>
  <si>
    <t>Mec-Sku</t>
  </si>
  <si>
    <t>Cust-Sku</t>
  </si>
  <si>
    <t>SOH</t>
  </si>
  <si>
    <t>Sell-out</t>
  </si>
  <si>
    <t>Sell_in-Returns-Sellout</t>
  </si>
  <si>
    <t xml:space="preserve">Article selection </t>
  </si>
  <si>
    <t>Attachments</t>
  </si>
  <si>
    <t>Atc 1</t>
  </si>
  <si>
    <t>Download excel</t>
  </si>
  <si>
    <t>Upload excel</t>
  </si>
  <si>
    <t>Locked and 100% matching</t>
  </si>
  <si>
    <t>Atc 2</t>
  </si>
  <si>
    <t>Atc 3</t>
  </si>
  <si>
    <t>View</t>
  </si>
  <si>
    <t>Delete</t>
  </si>
  <si>
    <t>SP11222</t>
  </si>
  <si>
    <t xml:space="preserve">Save </t>
  </si>
  <si>
    <t>i. User will select Brand</t>
  </si>
  <si>
    <r>
      <t xml:space="preserve">ii. HO/Cust selection based on the level defined in </t>
    </r>
    <r>
      <rPr>
        <sz val="11"/>
        <color theme="5" tint="-0.249977111117893"/>
        <rFont val="Calibri"/>
        <family val="2"/>
        <scheme val="minor"/>
      </rPr>
      <t>MODULE 2.2.3</t>
    </r>
  </si>
  <si>
    <t xml:space="preserve">           a) This will be locked to the selected SKUs</t>
  </si>
  <si>
    <t xml:space="preserve">           b) only take upload after download to prevent old files confusion</t>
  </si>
  <si>
    <t>CATName</t>
  </si>
  <si>
    <t xml:space="preserve">           b) Pending approval Brand Admin (Locked to edit)</t>
  </si>
  <si>
    <t xml:space="preserve">           d) Approved </t>
  </si>
  <si>
    <t xml:space="preserve">                     i. Used in reporting after approval</t>
  </si>
  <si>
    <r>
      <t xml:space="preserve">iii. </t>
    </r>
    <r>
      <rPr>
        <sz val="11"/>
        <color theme="5" tint="-0.249977111117893"/>
        <rFont val="Calibri"/>
        <family val="2"/>
        <scheme val="minor"/>
      </rPr>
      <t xml:space="preserve">MODULE 4.2.4 </t>
    </r>
  </si>
  <si>
    <t>ii. Approve button, Reject Button, Remarks</t>
  </si>
  <si>
    <t xml:space="preserve">iii. Bulk approve </t>
  </si>
  <si>
    <t xml:space="preserve">iv. Filters </t>
  </si>
  <si>
    <t>ii. Return Qty missing in MCSI report</t>
  </si>
  <si>
    <t>Issues</t>
  </si>
  <si>
    <t xml:space="preserve">           e) Rejected (Editable) (on save back to C)</t>
  </si>
  <si>
    <r>
      <t xml:space="preserve">i. Brand, HO/Cust code based </t>
    </r>
    <r>
      <rPr>
        <sz val="11"/>
        <color theme="5" tint="-0.249977111117893"/>
        <rFont val="Calibri"/>
        <family val="2"/>
        <scheme val="minor"/>
      </rPr>
      <t>MODULE 2.2.3</t>
    </r>
    <r>
      <rPr>
        <sz val="11"/>
        <color theme="1"/>
        <rFont val="Calibri"/>
        <family val="2"/>
        <scheme val="minor"/>
      </rPr>
      <t xml:space="preserve"> , SP-Num, SP-DATE, Data date range, est.Values</t>
    </r>
  </si>
  <si>
    <t>iv. All columns included in this table as in MCSI SAP/ Same all in general Report + value Per item(may change per line for same article)</t>
  </si>
  <si>
    <t>Phase 1</t>
  </si>
  <si>
    <t>Customer upload format mapping module</t>
  </si>
  <si>
    <t>Create a table for CustomerFormatsMaping</t>
  </si>
  <si>
    <t>Checks:</t>
  </si>
  <si>
    <t>ii. Show a confirmation to user of the data uploaded and make him scroll to the end for confirmation.</t>
  </si>
  <si>
    <t>7-Customer upload format mapping module</t>
  </si>
  <si>
    <t>Frontend:</t>
  </si>
  <si>
    <t>6-Module for SKU Mapping between MECL &amp; Customers</t>
  </si>
  <si>
    <t>Create a table for MEC x Customer sku names</t>
  </si>
  <si>
    <t>i. Will contain list of columns like MEC-Sku, Cust-Sku, CustID, ID</t>
  </si>
  <si>
    <t xml:space="preserve">i. A page to add/Map Sku </t>
  </si>
  <si>
    <r>
      <t xml:space="preserve">iii. Stop operations for </t>
    </r>
    <r>
      <rPr>
        <sz val="11"/>
        <color rgb="FFFF0000"/>
        <rFont val="Calibri"/>
        <family val="2"/>
        <scheme val="minor"/>
      </rPr>
      <t>Module 4</t>
    </r>
    <r>
      <rPr>
        <sz val="11"/>
        <color theme="1"/>
        <rFont val="Calibri"/>
        <family val="2"/>
        <scheme val="minor"/>
      </rPr>
      <t xml:space="preserve"> when this page is open to prevent wrong sku uploads</t>
    </r>
  </si>
  <si>
    <r>
      <t xml:space="preserve">i. Only the customer with a format set will show aoption to upload with that format directly </t>
    </r>
    <r>
      <rPr>
        <sz val="11"/>
        <color theme="5" tint="-0.249977111117893"/>
        <rFont val="Calibri"/>
        <family val="2"/>
        <scheme val="minor"/>
      </rPr>
      <t>MODULE 7.1</t>
    </r>
  </si>
  <si>
    <r>
      <t>ii. This will branch from</t>
    </r>
    <r>
      <rPr>
        <sz val="11"/>
        <color theme="5" tint="-0.249977111117893"/>
        <rFont val="Calibri"/>
        <family val="2"/>
        <scheme val="minor"/>
      </rPr>
      <t xml:space="preserve"> Module 4.1.2</t>
    </r>
  </si>
  <si>
    <t>i. Will contain list of columns as exactly as provided by customer format/dump/excel</t>
  </si>
  <si>
    <t>ii. Format upload</t>
  </si>
  <si>
    <t>iii. Listed of already existing formats for all</t>
  </si>
  <si>
    <t>iv. CRUD options</t>
  </si>
  <si>
    <t xml:space="preserve">iii. Customers selection </t>
  </si>
  <si>
    <t>5-One Time SOH input and tracking. (HO &amp; Cust)</t>
  </si>
  <si>
    <t>i. Initially user will upload SOH with format like HO-Code/Cust-Code, Article, SOH and Date</t>
  </si>
  <si>
    <t>Frontend</t>
  </si>
  <si>
    <t>ii. Upload the file</t>
  </si>
  <si>
    <t>1- User Access Control</t>
  </si>
  <si>
    <t>Brand - Customer - Category based</t>
  </si>
  <si>
    <t>Access management page</t>
  </si>
  <si>
    <t>i. Access for a specific Brand and Customer only</t>
  </si>
  <si>
    <t>ii. Access to an entire brand</t>
  </si>
  <si>
    <t xml:space="preserve">i. SP_Users Table </t>
  </si>
  <si>
    <t>i. Page to add / remove access for a user</t>
  </si>
  <si>
    <t>8- Reports</t>
  </si>
  <si>
    <t>Customer Stock Aging report</t>
  </si>
  <si>
    <t>Sales Pulse - General Report</t>
  </si>
  <si>
    <t>Overselling Report</t>
  </si>
  <si>
    <t>Daily Report</t>
  </si>
  <si>
    <t>ii. Filters for all columns</t>
  </si>
  <si>
    <t>i. Will contain list of columns like: Sr., Brand, Customer, Category (Name — Desc), Cust-SKU, MEC-SKU, Sell-in (Qty), Sell-in Value	Price (assumed), Sell-out, SOH (as of To)</t>
  </si>
  <si>
    <t>i. Will contain list of columns Like : Sr., Brand, Customer, Category (Name — Desc), Cust-SKU, MEC-SKU, Sell-in (Qty), Sell-in Value	Price (assumed), Sell-out, Current SOH</t>
  </si>
  <si>
    <t xml:space="preserve">ii. Filter for each column </t>
  </si>
  <si>
    <t>iii. Will only contain Negative SOH article lines based on Article-&gt;Customer-&gt;Brand</t>
  </si>
  <si>
    <t>iv. Filters for all columns</t>
  </si>
  <si>
    <t>v. At a glance data cards for totals</t>
  </si>
  <si>
    <t>ii. This will contain line item for each day for each customer</t>
  </si>
  <si>
    <t>iv. Main/required filter : Brand, Cust</t>
  </si>
  <si>
    <r>
      <t xml:space="preserve">ii. Format type "Company-Format" or "Cust-Format" defined at </t>
    </r>
    <r>
      <rPr>
        <sz val="11"/>
        <color theme="5" tint="-0.249977111117893"/>
        <rFont val="Calibri"/>
        <family val="2"/>
        <scheme val="minor"/>
      </rPr>
      <t>MODULE 2.1.4</t>
    </r>
  </si>
  <si>
    <t>iv. Supports excel upload for bulk Company X Cust sku mapping</t>
  </si>
  <si>
    <t>4-Create Sell Out module with Excel upload/download functionality. (HO &amp; CO)</t>
  </si>
  <si>
    <t>Checks</t>
  </si>
  <si>
    <t>i. No sell-out (MODULE 4) if SKU is not in Sell-in</t>
  </si>
  <si>
    <t>vi. One line of this customer must exist in SOH (MODULE 5) table to start fetch sell-in. (Its Customer onboarding logic)</t>
  </si>
  <si>
    <t>Pending approval Page</t>
  </si>
  <si>
    <t>i. Page to show list of all Uploads of sell-out</t>
  </si>
  <si>
    <r>
      <t xml:space="preserve">iii. Brand, HO/Cust code based </t>
    </r>
    <r>
      <rPr>
        <sz val="11"/>
        <color theme="5" tint="-0.249977111117893"/>
        <rFont val="Calibri"/>
        <family val="2"/>
        <scheme val="minor"/>
      </rPr>
      <t>MODULE 2.2.3</t>
    </r>
    <r>
      <rPr>
        <sz val="11"/>
        <color theme="1"/>
        <rFont val="Calibri"/>
        <family val="2"/>
        <scheme val="minor"/>
      </rPr>
      <t xml:space="preserve"> , Upload-DATE, Data date range</t>
    </r>
  </si>
  <si>
    <t>iv. Sell-out statuses</t>
  </si>
  <si>
    <t xml:space="preserve">           c) Pending approval Finance Admin (Locked to edit) --------------------------------------(To be discussed)</t>
  </si>
  <si>
    <t>Frontend Pending approval</t>
  </si>
  <si>
    <t>Bulk Upload "Cust-Format"</t>
  </si>
  <si>
    <r>
      <t>v. Add the Cust-SKU to SKU-Mapping if provided in sell-out upload (</t>
    </r>
    <r>
      <rPr>
        <sz val="11"/>
        <color theme="5" tint="-0.249977111117893"/>
        <rFont val="Calibri"/>
        <family val="2"/>
        <scheme val="minor"/>
      </rPr>
      <t>MODULE 6.1.5</t>
    </r>
    <r>
      <rPr>
        <sz val="11"/>
        <color theme="1"/>
        <rFont val="Calibri"/>
        <family val="2"/>
        <scheme val="minor"/>
      </rPr>
      <t>)</t>
    </r>
  </si>
  <si>
    <t>Upload Sell-out page (DIRECT UPLOAD)</t>
  </si>
  <si>
    <t>i. Select Brand and customer</t>
  </si>
  <si>
    <t xml:space="preserve">ii. Download template </t>
  </si>
  <si>
    <t>iii. Template will contain column headers on Sheet1</t>
  </si>
  <si>
    <t>iv. Sku Mapping on Sheet 2</t>
  </si>
  <si>
    <t>Dashboard /KPIS/ At a glance reports</t>
  </si>
  <si>
    <t>9- Dashboard /KPIs / At-a glance reports</t>
  </si>
  <si>
    <t>Inventory Days at customer</t>
  </si>
  <si>
    <t>i. Average days stock stays in store before being sold</t>
  </si>
  <si>
    <t>Chanel Performance</t>
  </si>
  <si>
    <t>Sales per customer</t>
  </si>
  <si>
    <t>Sell-through rate (70% - 80%)</t>
  </si>
  <si>
    <t>Sell-out Growth</t>
  </si>
  <si>
    <t>Change vs Latest month/quarter  year</t>
  </si>
  <si>
    <t>Sell-out value</t>
  </si>
  <si>
    <t>Revenue sold to Customer</t>
  </si>
  <si>
    <t>Stock-in-trade / Channel Inventory</t>
  </si>
  <si>
    <t>How much stock is sitting with the customer</t>
  </si>
  <si>
    <t>Sales Velocity VS sell-in</t>
  </si>
  <si>
    <t>Top/ Bottom velocity Skus</t>
  </si>
  <si>
    <t>High sell-in + High Velocity        (Strong Demand)</t>
  </si>
  <si>
    <t>High sell-in + Low Velocity        (Overstock)</t>
  </si>
  <si>
    <t>Low sell-in + High Velocity        (Stockout)</t>
  </si>
  <si>
    <t>Low sell-in + Low Velocity        (Weak Demand)</t>
  </si>
  <si>
    <t>=&gt;</t>
  </si>
  <si>
    <t>Reorder Reminder: If customer has low stock but his sell-in is High Velocity</t>
  </si>
  <si>
    <t>Sell-out History (Using AI to show demand)</t>
  </si>
  <si>
    <t>Order Matrix (At a glance)</t>
  </si>
  <si>
    <t>Reports</t>
  </si>
  <si>
    <t>Completed</t>
  </si>
  <si>
    <t>To be checked with Adil (IT)</t>
  </si>
  <si>
    <t>AI Enabled Analytics</t>
  </si>
  <si>
    <t>Lost Sales opportunity</t>
  </si>
  <si>
    <t xml:space="preserve">Initial Phase </t>
  </si>
  <si>
    <r>
      <t xml:space="preserve">Assess existing database systems (MCSI) and ensure compatibility with the new </t>
    </r>
    <r>
      <rPr>
        <sz val="11"/>
        <color theme="1"/>
        <rFont val="Calibri"/>
        <family val="2"/>
        <scheme val="minor"/>
      </rPr>
      <t>“</t>
    </r>
    <r>
      <rPr>
        <b/>
        <sz val="11"/>
        <color theme="1"/>
        <rFont val="Calibri"/>
        <family val="2"/>
        <scheme val="minor"/>
      </rPr>
      <t xml:space="preserve">Sales Pulse” </t>
    </r>
    <r>
      <rPr>
        <sz val="11"/>
        <color theme="1"/>
        <rFont val="Verdana"/>
        <family val="2"/>
      </rPr>
      <t>solution.</t>
    </r>
  </si>
  <si>
    <t>Module to update /maintain customer master data for HO/Cust code. CRUD</t>
  </si>
  <si>
    <t>Separate User creation Page</t>
  </si>
  <si>
    <t>ii. New user creation and validation front and backend</t>
  </si>
  <si>
    <t>2-Module Customer master data, HO/Cust code Mapping. CRUD</t>
  </si>
  <si>
    <t>iii. Define Upload/inputs Level at this point for later inputs</t>
  </si>
  <si>
    <t xml:space="preserve">iv. SOHUploadBasis &amp; SellOutUploadbasis. Define if "Transactional" or "Accumulative" </t>
  </si>
  <si>
    <t>iii.  Reuse the same UI as RFT category add (IF possible with minimal changes)</t>
  </si>
  <si>
    <t>Risk-Assessment of Level change</t>
  </si>
  <si>
    <t>i. Impact on SOH/Sell-out/Reports etc.</t>
  </si>
  <si>
    <t xml:space="preserve">Separate Sell-in For SALES-PULSE for required Cust. Codes (TABLE) </t>
  </si>
  <si>
    <t>I. Issue ( missing data after last schedule in current MSCI)</t>
  </si>
  <si>
    <r>
      <t>iii. Cust. Code mapping with HO code for filter and export (</t>
    </r>
    <r>
      <rPr>
        <sz val="11"/>
        <color theme="5" tint="-0.249977111117893"/>
        <rFont val="Calibri"/>
        <family val="2"/>
        <scheme val="minor"/>
      </rPr>
      <t>LINKED TO MODULE 1</t>
    </r>
    <r>
      <rPr>
        <sz val="11"/>
        <color theme="1"/>
        <rFont val="Calibri"/>
        <family val="2"/>
        <scheme val="minor"/>
      </rPr>
      <t>)</t>
    </r>
  </si>
  <si>
    <t xml:space="preserve">           a) Draft (still editable) (Delete able) --------------------------------------(To be discussed)</t>
  </si>
  <si>
    <t>Workflow of Sell-out to approval</t>
  </si>
  <si>
    <t>Negative Scenarios</t>
  </si>
  <si>
    <r>
      <t xml:space="preserve">         b) Highlight issue line on SP_list page in </t>
    </r>
    <r>
      <rPr>
        <sz val="11"/>
        <color theme="5" tint="-0.249977111117893"/>
        <rFont val="Calibri"/>
        <family val="2"/>
        <scheme val="minor"/>
      </rPr>
      <t>Module 4.2.1</t>
    </r>
  </si>
  <si>
    <t>I. OPTIONAL: In Cust-Format upload First let user download the format he set so he can copy paste the date in it to minimize issues on format mismatch</t>
  </si>
  <si>
    <r>
      <t xml:space="preserve">iii. Define wather to use MEC or Cust Skus in the table beforehand </t>
    </r>
    <r>
      <rPr>
        <sz val="11"/>
        <color theme="5" tint="-0.249977111117893"/>
        <rFont val="Calibri"/>
        <family val="2"/>
        <scheme val="minor"/>
      </rPr>
      <t>MODULE 6</t>
    </r>
  </si>
  <si>
    <t>v. User can copy paste between sheets or add manually with spell checking enabled (If possible)</t>
  </si>
  <si>
    <t>SOH column (either as in selling table or make a separate table )</t>
  </si>
  <si>
    <t>ii. This number will be used as initial starting point and will be assumed as current SOH for any customer</t>
  </si>
  <si>
    <t>ii. Support CRUD operations to ADD, Remove EDIT and DELETE Mappings</t>
  </si>
  <si>
    <t>iii. Used at prefilling data for MODULE 4.1.6 restriction</t>
  </si>
  <si>
    <t>v. Supports auto assignment of Cust Sku to company SKU if non-existing mapping and Available in Sell-out upload</t>
  </si>
  <si>
    <t>i. Cannot add same sku twice for one cust</t>
  </si>
  <si>
    <t>i. customer selection before format</t>
  </si>
  <si>
    <r>
      <rPr>
        <sz val="11"/>
        <color theme="9" tint="-0.249977111117893"/>
        <rFont val="Calibri"/>
        <family val="2"/>
        <scheme val="minor"/>
      </rPr>
      <t xml:space="preserve">i. </t>
    </r>
    <r>
      <rPr>
        <sz val="11"/>
        <color theme="1"/>
        <rFont val="Calibri"/>
        <family val="2"/>
        <scheme val="minor"/>
      </rPr>
      <t>Will contain list of columns like : Customer, Brand, Article, Description, days( buckets e.g 30+), SOH	Avg Age, Oldest Lot, Newest Lot, Total In, Total Out, Last Sell-out, Last Movement (Type e.g. SELL-in/Sell-out/Return etc.)</t>
    </r>
  </si>
  <si>
    <t>iii. Most important date window filter will provide results between the filtered date for (Sell-in/out/SOH)</t>
  </si>
  <si>
    <t>i. Will contain list of columns Like : Sr., Brand, Customer, Category (Name — Desc), Cust-SKU, MEC-SKU, Sell-in (Qty), Sell-in Value(accurate for the day), Sell-out,  Sell-out, Value,  Current SOH (of the day)</t>
  </si>
  <si>
    <t>iii. Filters are mandatory to run this report</t>
  </si>
  <si>
    <t>v. Optional filter e.g From date, To Date, Article, Cat Name, CatDesc E.T.C</t>
  </si>
  <si>
    <t>Sell-out + (sell-in - opening Stock)</t>
  </si>
  <si>
    <t>Sell-In to Velocity Balance Index (Index &gt; 1 = Pushing more than selling , Index &lt; 1 = Selling faster than supplying.)</t>
  </si>
  <si>
    <t>Product</t>
  </si>
  <si>
    <t>Sell-In Units</t>
  </si>
  <si>
    <t>Sell-Out Units</t>
  </si>
  <si>
    <t>Stores</t>
  </si>
  <si>
    <t>Time (Weeks)</t>
  </si>
  <si>
    <t>Sales Velocity (Units/Store/Week)</t>
  </si>
  <si>
    <t>Sell-In Achievement %</t>
  </si>
  <si>
    <t>Weeks of Supply</t>
  </si>
  <si>
    <t>Sell-In vs Velocity Index</t>
  </si>
  <si>
    <t>Status</t>
  </si>
  <si>
    <t>Product A</t>
  </si>
  <si>
    <t>Product B</t>
  </si>
  <si>
    <t>Product C</t>
  </si>
  <si>
    <t xml:space="preserve">I. An admin for Brand (Brand Admin) that will approve sell-out </t>
  </si>
  <si>
    <t>ii. Then admin for all brands (Finance Admin) - can see and approve all sell-out and has overall read-access</t>
  </si>
  <si>
    <t>Testing- Phase 2</t>
  </si>
  <si>
    <t>i. Sell-out is more then SOH. (we can allow it to go for approval)</t>
  </si>
  <si>
    <r>
      <t xml:space="preserve">         a) report on Dashboard show Brand, Customer/Ho code, </t>
    </r>
    <r>
      <rPr>
        <sz val="11"/>
        <color rgb="FFFF0000"/>
        <rFont val="Calibri"/>
        <family val="2"/>
        <scheme val="minor"/>
      </rPr>
      <t>Sp-num(Clickable)</t>
    </r>
  </si>
  <si>
    <t>Phase 2</t>
  </si>
  <si>
    <t>Customers management page (Statuses and activation logic) (Active, Inactive, Sell-in Hibernateing, Sell-out Hibernating, Dead E.t.C)</t>
  </si>
  <si>
    <t>Allow per brand SOH so one customer can receive Initial SOH multiple times for multiple brands</t>
  </si>
  <si>
    <t>i. Selection of Customer, SOH date, SnapShot Type</t>
  </si>
  <si>
    <r>
      <t xml:space="preserve">If need to change the SOH of already uploaded brand of a customer then select </t>
    </r>
    <r>
      <rPr>
        <b/>
        <sz val="11"/>
        <color theme="1"/>
        <rFont val="Calibri"/>
        <family val="2"/>
        <scheme val="minor"/>
      </rPr>
      <t>SnapShot Type</t>
    </r>
    <r>
      <rPr>
        <sz val="11"/>
        <color theme="1"/>
        <rFont val="Calibri"/>
        <family val="2"/>
        <scheme val="minor"/>
      </rPr>
      <t xml:space="preserve"> "Superceed"</t>
    </r>
  </si>
  <si>
    <t>ii. Downlaod the template file</t>
  </si>
  <si>
    <t>Checksd and Negative scnarios</t>
  </si>
  <si>
    <t>i. Cannot upload negative SOH</t>
  </si>
  <si>
    <t>ii. Cannot upload for future date</t>
  </si>
  <si>
    <t>iii. Must have correct Brand name spelling in file</t>
  </si>
  <si>
    <t xml:space="preserve">iv. Alllow export to excel </t>
  </si>
  <si>
    <t>User List  page</t>
  </si>
  <si>
    <t>User Audit log Page</t>
  </si>
  <si>
    <t>ALL REPORTS SHOULD ONLY GIVE CALCULATIONS RESULTS STARTING FROM GO-Live/INITAIL SOH DATE for selected /brand and customer</t>
  </si>
  <si>
    <t>Planned - phase 2</t>
  </si>
  <si>
    <t xml:space="preserve">iii. Option to add attachments/View/Delete </t>
  </si>
  <si>
    <t>iv. Option to download excel</t>
  </si>
  <si>
    <r>
      <t>v. Option to hide SOH Column (</t>
    </r>
    <r>
      <rPr>
        <sz val="11"/>
        <color rgb="FFFF0000"/>
        <rFont val="Calibri"/>
        <family val="2"/>
        <scheme val="minor"/>
      </rPr>
      <t>To be discussed</t>
    </r>
    <r>
      <rPr>
        <sz val="11"/>
        <color theme="1"/>
        <rFont val="Calibri"/>
        <family val="2"/>
        <scheme val="minor"/>
      </rPr>
      <t>)</t>
    </r>
  </si>
  <si>
    <t xml:space="preserve">vi. At the Sell out compare with Soh for that specific transection Date. </t>
  </si>
  <si>
    <t>vii. Sell-out template should also include SKU if they have SOH only and no sell-in</t>
  </si>
  <si>
    <t>viii. SOH check along with sell-in check when sell-out uploading toi ensure SKU exists</t>
  </si>
  <si>
    <t>ix. Add  a button for DRAFT-SAVE (Incse missing any data)</t>
  </si>
  <si>
    <t>UPLOAD SELL-OUT page --&gt; FRONT END:</t>
  </si>
  <si>
    <t xml:space="preserve">Customers Contact Book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</si>
</sst>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2"/>
      <color rgb="FF17365D"/>
      <name val="Verdana"/>
      <family val="2"/>
    </font>
    <font>
      <b/>
      <sz val="14"/>
      <color rgb="FF0070C0"/>
      <name val="Verdana"/>
      <family val="2"/>
    </font>
    <font>
      <b/>
      <sz val="11"/>
      <color theme="0"/>
      <name val="Verdana"/>
      <family val="2"/>
    </font>
    <font>
      <sz val="11"/>
      <color theme="5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Verdana"/>
      <family val="2"/>
    </font>
    <font>
      <sz val="11"/>
      <color rgb="FFC00000"/>
      <name val="Verdana"/>
      <family val="2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b/>
      <sz val="11"/>
      <color rgb="FFFFC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8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7" fontId="4" fillId="0" borderId="2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2" borderId="5" xfId="0" applyFont="1" applyFill="1" applyBorder="1" applyAlignment="1">
      <alignment horizontal="left"/>
    </xf>
    <xf numFmtId="0" fontId="3" fillId="0" borderId="5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6" fillId="2" borderId="3" xfId="0" applyFont="1" applyFill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7" fillId="3" borderId="0" xfId="0" applyFont="1" applyFill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left" wrapText="1"/>
    </xf>
    <xf numFmtId="0" fontId="0" fillId="0" borderId="7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4" borderId="12" xfId="0" applyFill="1" applyBorder="1"/>
    <xf numFmtId="0" fontId="0" fillId="4" borderId="0" xfId="0" applyFill="1"/>
    <xf numFmtId="0" fontId="2" fillId="0" borderId="8" xfId="0" applyFont="1" applyBorder="1"/>
    <xf numFmtId="0" fontId="0" fillId="0" borderId="16" xfId="0" applyBorder="1"/>
    <xf numFmtId="0" fontId="0" fillId="0" borderId="17" xfId="0" applyBorder="1"/>
    <xf numFmtId="0" fontId="8" fillId="0" borderId="0" xfId="0" applyFont="1" applyAlignment="1">
      <alignment horizontal="left"/>
    </xf>
    <xf numFmtId="0" fontId="0" fillId="5" borderId="0" xfId="0" applyFill="1"/>
    <xf numFmtId="0" fontId="0" fillId="5" borderId="7" xfId="0" applyFill="1" applyBorder="1"/>
    <xf numFmtId="0" fontId="0" fillId="6" borderId="7" xfId="0" applyFill="1" applyBorder="1"/>
    <xf numFmtId="14" fontId="0" fillId="6" borderId="7" xfId="0" applyNumberFormat="1" applyFill="1" applyBorder="1"/>
    <xf numFmtId="14" fontId="8" fillId="6" borderId="7" xfId="0" applyNumberFormat="1" applyFont="1" applyFill="1" applyBorder="1"/>
    <xf numFmtId="0" fontId="8" fillId="6" borderId="7" xfId="0" applyFont="1" applyFill="1" applyBorder="1"/>
    <xf numFmtId="0" fontId="4" fillId="5" borderId="5" xfId="0" applyFont="1" applyFill="1" applyBorder="1" applyAlignment="1">
      <alignment horizontal="left" wrapText="1"/>
    </xf>
    <xf numFmtId="0" fontId="0" fillId="5" borderId="5" xfId="0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7" borderId="5" xfId="0" applyFill="1" applyBorder="1" applyAlignment="1">
      <alignment horizontal="left" wrapText="1"/>
    </xf>
    <xf numFmtId="0" fontId="2" fillId="7" borderId="5" xfId="0" applyFont="1" applyFill="1" applyBorder="1" applyAlignment="1">
      <alignment horizontal="left" wrapText="1"/>
    </xf>
    <xf numFmtId="0" fontId="0" fillId="0" borderId="5" xfId="0" quotePrefix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0" borderId="5" xfId="0" applyFont="1" applyBorder="1" applyAlignment="1">
      <alignment horizontal="left" wrapText="1"/>
    </xf>
    <xf numFmtId="0" fontId="14" fillId="8" borderId="0" xfId="0" applyFont="1" applyFill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2" fillId="0" borderId="19" xfId="0" quotePrefix="1" applyFont="1" applyBorder="1" applyAlignment="1">
      <alignment horizontal="left"/>
    </xf>
    <xf numFmtId="0" fontId="2" fillId="0" borderId="20" xfId="0" quotePrefix="1" applyFont="1" applyBorder="1" applyAlignment="1">
      <alignment horizontal="left"/>
    </xf>
    <xf numFmtId="0" fontId="2" fillId="0" borderId="21" xfId="0" quotePrefix="1" applyFont="1" applyBorder="1" applyAlignment="1">
      <alignment horizontal="left"/>
    </xf>
    <xf numFmtId="0" fontId="7" fillId="3" borderId="0" xfId="0" applyFont="1" applyFill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16" fillId="3" borderId="19" xfId="0" applyFont="1" applyFill="1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16" fillId="3" borderId="21" xfId="0" applyFont="1" applyFill="1" applyBorder="1" applyAlignment="1">
      <alignment horizontal="center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D51A-4365-4002-AC18-6BEBC73007D6}">
  <sheetPr>
    <pageSetUpPr fitToPage="1"/>
  </sheetPr>
  <dimension ref="A1:D444"/>
  <sheetViews>
    <sheetView tabSelected="1" zoomScaleNormal="100" workbookViewId="0">
      <selection activeCell="B12" sqref="B12"/>
    </sheetView>
  </sheetViews>
  <sheetFormatPr defaultColWidth="8.85546875" defaultRowHeight="15" x14ac:dyDescent="0.25"/>
  <cols>
    <col min="1" max="1" width="8.85546875" style="2"/>
    <col min="2" max="2" width="105.5703125" style="13" bestFit="1" customWidth="1"/>
    <col min="3" max="3" width="18.5703125" style="2" bestFit="1" customWidth="1"/>
    <col min="4" max="4" width="32.42578125" style="2" customWidth="1"/>
    <col min="5" max="5" width="10.7109375" style="2" bestFit="1" customWidth="1"/>
    <col min="6" max="16384" width="8.85546875" style="2"/>
  </cols>
  <sheetData>
    <row r="1" spans="1:4" x14ac:dyDescent="0.25">
      <c r="A1" s="60" t="s">
        <v>178</v>
      </c>
      <c r="B1" s="60"/>
      <c r="C1" s="60"/>
      <c r="D1" s="61"/>
    </row>
    <row r="2" spans="1:4" x14ac:dyDescent="0.25">
      <c r="A2" s="17" t="s">
        <v>30</v>
      </c>
      <c r="B2" s="17" t="s">
        <v>7</v>
      </c>
      <c r="C2" s="18" t="s">
        <v>8</v>
      </c>
      <c r="D2" s="18" t="s">
        <v>9</v>
      </c>
    </row>
    <row r="3" spans="1:4" ht="15.75" x14ac:dyDescent="0.25">
      <c r="A3" s="2">
        <v>1</v>
      </c>
      <c r="B3" s="10" t="s">
        <v>1</v>
      </c>
      <c r="C3" s="8" t="s">
        <v>174</v>
      </c>
      <c r="D3" s="9"/>
    </row>
    <row r="4" spans="1:4" ht="30" x14ac:dyDescent="0.25">
      <c r="A4" s="2">
        <v>2</v>
      </c>
      <c r="B4" s="12" t="s">
        <v>179</v>
      </c>
      <c r="C4" s="8" t="s">
        <v>174</v>
      </c>
      <c r="D4" s="8"/>
    </row>
    <row r="5" spans="1:4" x14ac:dyDescent="0.25">
      <c r="A5" s="2">
        <v>3</v>
      </c>
      <c r="B5" s="12" t="s">
        <v>2</v>
      </c>
      <c r="C5" s="8" t="s">
        <v>174</v>
      </c>
      <c r="D5" s="8"/>
    </row>
    <row r="7" spans="1:4" x14ac:dyDescent="0.25">
      <c r="A7" s="60" t="s">
        <v>0</v>
      </c>
      <c r="B7" s="60"/>
      <c r="C7" s="60"/>
      <c r="D7" s="61"/>
    </row>
    <row r="8" spans="1:4" x14ac:dyDescent="0.25">
      <c r="A8" s="17" t="s">
        <v>30</v>
      </c>
      <c r="B8" s="17" t="s">
        <v>7</v>
      </c>
      <c r="C8" s="44" t="s">
        <v>8</v>
      </c>
      <c r="D8" s="44" t="s">
        <v>9</v>
      </c>
    </row>
    <row r="9" spans="1:4" x14ac:dyDescent="0.25">
      <c r="A9" s="43">
        <v>3</v>
      </c>
      <c r="B9" s="42" t="s">
        <v>34</v>
      </c>
      <c r="C9" s="43" t="s">
        <v>87</v>
      </c>
      <c r="D9" s="53" t="s">
        <v>174</v>
      </c>
    </row>
    <row r="10" spans="1:4" x14ac:dyDescent="0.25">
      <c r="A10" s="43">
        <v>5</v>
      </c>
      <c r="B10" s="42" t="s">
        <v>32</v>
      </c>
      <c r="C10" s="43" t="s">
        <v>87</v>
      </c>
      <c r="D10" s="53" t="s">
        <v>174</v>
      </c>
    </row>
    <row r="11" spans="1:4" x14ac:dyDescent="0.25">
      <c r="A11" s="43"/>
      <c r="B11" s="42" t="s">
        <v>33</v>
      </c>
      <c r="C11" s="43" t="s">
        <v>231</v>
      </c>
      <c r="D11" s="43" t="s">
        <v>231</v>
      </c>
    </row>
    <row r="12" spans="1:4" x14ac:dyDescent="0.25">
      <c r="A12" s="43">
        <v>2</v>
      </c>
      <c r="B12" s="42" t="s">
        <v>180</v>
      </c>
      <c r="C12" s="43" t="s">
        <v>87</v>
      </c>
      <c r="D12" s="53" t="s">
        <v>174</v>
      </c>
    </row>
    <row r="13" spans="1:4" ht="29.25" x14ac:dyDescent="0.25">
      <c r="A13" s="43">
        <v>4</v>
      </c>
      <c r="B13" s="42" t="s">
        <v>31</v>
      </c>
      <c r="C13" s="43" t="s">
        <v>87</v>
      </c>
      <c r="D13" s="53" t="s">
        <v>174</v>
      </c>
    </row>
    <row r="14" spans="1:4" x14ac:dyDescent="0.25">
      <c r="A14" s="43"/>
      <c r="B14" s="42" t="s">
        <v>3</v>
      </c>
      <c r="C14" s="43" t="s">
        <v>231</v>
      </c>
      <c r="D14" s="43" t="s">
        <v>231</v>
      </c>
    </row>
    <row r="15" spans="1:4" ht="29.25" x14ac:dyDescent="0.25">
      <c r="A15" s="43"/>
      <c r="B15" s="42" t="s">
        <v>4</v>
      </c>
      <c r="C15" s="43" t="s">
        <v>87</v>
      </c>
      <c r="D15" s="53" t="s">
        <v>174</v>
      </c>
    </row>
    <row r="16" spans="1:4" x14ac:dyDescent="0.25">
      <c r="A16" s="43">
        <v>1</v>
      </c>
      <c r="B16" s="42" t="s">
        <v>5</v>
      </c>
      <c r="C16" s="43" t="s">
        <v>87</v>
      </c>
      <c r="D16" s="53" t="s">
        <v>174</v>
      </c>
    </row>
    <row r="17" spans="1:4" x14ac:dyDescent="0.25">
      <c r="A17" s="43">
        <v>6</v>
      </c>
      <c r="B17" s="42" t="s">
        <v>35</v>
      </c>
      <c r="C17" s="43" t="s">
        <v>87</v>
      </c>
      <c r="D17" s="53" t="s">
        <v>174</v>
      </c>
    </row>
    <row r="18" spans="1:4" x14ac:dyDescent="0.25">
      <c r="A18" s="43"/>
      <c r="B18" s="42" t="s">
        <v>29</v>
      </c>
      <c r="C18" s="43" t="s">
        <v>231</v>
      </c>
      <c r="D18" s="43" t="s">
        <v>231</v>
      </c>
    </row>
    <row r="19" spans="1:4" x14ac:dyDescent="0.25">
      <c r="A19" s="43">
        <v>8</v>
      </c>
      <c r="B19" s="45" t="s">
        <v>173</v>
      </c>
      <c r="C19" s="43"/>
      <c r="D19" s="43"/>
    </row>
    <row r="20" spans="1:4" x14ac:dyDescent="0.25">
      <c r="A20" s="43">
        <v>7</v>
      </c>
      <c r="B20" s="42" t="s">
        <v>88</v>
      </c>
      <c r="C20" s="43" t="s">
        <v>87</v>
      </c>
      <c r="D20" s="53" t="s">
        <v>174</v>
      </c>
    </row>
    <row r="21" spans="1:4" x14ac:dyDescent="0.25">
      <c r="A21" s="8">
        <v>9</v>
      </c>
      <c r="B21" s="12" t="s">
        <v>150</v>
      </c>
      <c r="C21" s="43" t="s">
        <v>87</v>
      </c>
      <c r="D21" s="53" t="s">
        <v>174</v>
      </c>
    </row>
    <row r="22" spans="1:4" x14ac:dyDescent="0.25">
      <c r="A22" s="60" t="s">
        <v>110</v>
      </c>
      <c r="B22" s="60"/>
      <c r="C22" s="60"/>
      <c r="D22" s="61"/>
    </row>
    <row r="23" spans="1:4" x14ac:dyDescent="0.25">
      <c r="A23" s="17" t="s">
        <v>30</v>
      </c>
      <c r="B23" s="17" t="s">
        <v>7</v>
      </c>
      <c r="C23" s="44" t="s">
        <v>8</v>
      </c>
      <c r="D23" s="44" t="s">
        <v>9</v>
      </c>
    </row>
    <row r="24" spans="1:4" x14ac:dyDescent="0.25">
      <c r="A24" s="8">
        <v>1</v>
      </c>
      <c r="B24" s="11" t="s">
        <v>111</v>
      </c>
      <c r="C24" s="53" t="s">
        <v>174</v>
      </c>
      <c r="D24" s="8"/>
    </row>
    <row r="25" spans="1:4" x14ac:dyDescent="0.25">
      <c r="A25" s="8"/>
      <c r="B25" s="12" t="s">
        <v>113</v>
      </c>
      <c r="C25" s="53" t="s">
        <v>174</v>
      </c>
      <c r="D25" s="8"/>
    </row>
    <row r="26" spans="1:4" x14ac:dyDescent="0.25">
      <c r="A26" s="8"/>
      <c r="B26" s="12" t="s">
        <v>114</v>
      </c>
      <c r="C26" s="53" t="s">
        <v>174</v>
      </c>
      <c r="D26" s="8"/>
    </row>
    <row r="27" spans="1:4" x14ac:dyDescent="0.25">
      <c r="A27" s="8">
        <v>2</v>
      </c>
      <c r="B27" s="11" t="s">
        <v>181</v>
      </c>
      <c r="C27" s="53" t="s">
        <v>174</v>
      </c>
      <c r="D27" s="8"/>
    </row>
    <row r="28" spans="1:4" x14ac:dyDescent="0.25">
      <c r="A28" s="8"/>
      <c r="B28" s="12" t="s">
        <v>115</v>
      </c>
      <c r="C28" s="53" t="s">
        <v>174</v>
      </c>
      <c r="D28" s="8"/>
    </row>
    <row r="29" spans="1:4" x14ac:dyDescent="0.25">
      <c r="A29" s="8"/>
      <c r="B29" s="12" t="s">
        <v>182</v>
      </c>
      <c r="C29" s="53" t="s">
        <v>174</v>
      </c>
      <c r="D29" s="8"/>
    </row>
    <row r="30" spans="1:4" x14ac:dyDescent="0.25">
      <c r="A30" s="8">
        <v>3</v>
      </c>
      <c r="B30" s="11" t="s">
        <v>112</v>
      </c>
      <c r="C30" s="53" t="s">
        <v>174</v>
      </c>
      <c r="D30" s="8"/>
    </row>
    <row r="31" spans="1:4" x14ac:dyDescent="0.25">
      <c r="A31" s="8"/>
      <c r="B31" s="12" t="s">
        <v>116</v>
      </c>
      <c r="C31" s="53" t="s">
        <v>174</v>
      </c>
      <c r="D31" s="8"/>
    </row>
    <row r="32" spans="1:4" x14ac:dyDescent="0.25">
      <c r="A32" s="8">
        <v>4</v>
      </c>
      <c r="B32" s="11" t="s">
        <v>242</v>
      </c>
      <c r="C32" s="8" t="s">
        <v>231</v>
      </c>
      <c r="D32" s="64"/>
    </row>
    <row r="33" spans="1:4" x14ac:dyDescent="0.25">
      <c r="A33" s="63">
        <v>5</v>
      </c>
      <c r="B33" s="11" t="s">
        <v>243</v>
      </c>
      <c r="C33" s="8" t="s">
        <v>231</v>
      </c>
      <c r="D33" s="64"/>
    </row>
    <row r="34" spans="1:4" x14ac:dyDescent="0.25">
      <c r="A34" s="60" t="s">
        <v>183</v>
      </c>
      <c r="B34" s="60"/>
      <c r="C34" s="60"/>
      <c r="D34" s="61"/>
    </row>
    <row r="35" spans="1:4" x14ac:dyDescent="0.25">
      <c r="A35" s="17" t="s">
        <v>30</v>
      </c>
      <c r="B35" s="17" t="s">
        <v>7</v>
      </c>
      <c r="C35" s="44" t="s">
        <v>8</v>
      </c>
      <c r="D35" s="44" t="s">
        <v>9</v>
      </c>
    </row>
    <row r="36" spans="1:4" x14ac:dyDescent="0.25">
      <c r="A36" s="8">
        <v>1</v>
      </c>
      <c r="B36" s="11" t="s">
        <v>37</v>
      </c>
      <c r="C36" s="8"/>
      <c r="D36" s="8"/>
    </row>
    <row r="37" spans="1:4" ht="29.25" x14ac:dyDescent="0.25">
      <c r="A37" s="8"/>
      <c r="B37" s="11" t="s">
        <v>232</v>
      </c>
      <c r="C37" s="53" t="s">
        <v>174</v>
      </c>
      <c r="D37" s="8"/>
    </row>
    <row r="38" spans="1:4" x14ac:dyDescent="0.25">
      <c r="A38" s="8"/>
      <c r="B38" s="12" t="s">
        <v>36</v>
      </c>
      <c r="C38" s="53" t="s">
        <v>174</v>
      </c>
      <c r="D38" s="8"/>
    </row>
    <row r="39" spans="1:4" x14ac:dyDescent="0.25">
      <c r="A39" s="8"/>
      <c r="B39" s="12" t="s">
        <v>38</v>
      </c>
      <c r="C39" s="53" t="s">
        <v>174</v>
      </c>
      <c r="D39" s="8"/>
    </row>
    <row r="40" spans="1:4" x14ac:dyDescent="0.25">
      <c r="A40" s="8"/>
      <c r="B40" s="12" t="s">
        <v>184</v>
      </c>
      <c r="C40" s="53" t="s">
        <v>174</v>
      </c>
      <c r="D40" s="8" t="s">
        <v>50</v>
      </c>
    </row>
    <row r="41" spans="1:4" x14ac:dyDescent="0.25">
      <c r="A41" s="8"/>
      <c r="B41" s="12" t="s">
        <v>185</v>
      </c>
      <c r="C41" s="53" t="s">
        <v>174</v>
      </c>
      <c r="D41" s="8"/>
    </row>
    <row r="42" spans="1:4" x14ac:dyDescent="0.25">
      <c r="A42" s="8"/>
      <c r="B42" s="12" t="s">
        <v>254</v>
      </c>
      <c r="C42" s="8" t="s">
        <v>231</v>
      </c>
      <c r="D42" s="8"/>
    </row>
    <row r="43" spans="1:4" x14ac:dyDescent="0.25">
      <c r="A43" s="8"/>
      <c r="B43" s="11" t="s">
        <v>39</v>
      </c>
      <c r="C43" s="53" t="s">
        <v>174</v>
      </c>
      <c r="D43" s="8"/>
    </row>
    <row r="44" spans="1:4" x14ac:dyDescent="0.25">
      <c r="A44" s="8"/>
      <c r="B44" s="12" t="s">
        <v>41</v>
      </c>
      <c r="C44" s="53" t="s">
        <v>174</v>
      </c>
      <c r="D44" s="8"/>
    </row>
    <row r="45" spans="1:4" x14ac:dyDescent="0.25">
      <c r="A45" s="8"/>
      <c r="B45" s="12" t="s">
        <v>40</v>
      </c>
      <c r="C45" s="53" t="s">
        <v>174</v>
      </c>
      <c r="D45" s="8"/>
    </row>
    <row r="46" spans="1:4" x14ac:dyDescent="0.25">
      <c r="A46" s="8"/>
      <c r="B46" s="12" t="s">
        <v>186</v>
      </c>
      <c r="C46" s="53" t="s">
        <v>174</v>
      </c>
      <c r="D46" s="8"/>
    </row>
    <row r="47" spans="1:4" x14ac:dyDescent="0.25">
      <c r="A47" s="8"/>
      <c r="B47" s="46" t="s">
        <v>187</v>
      </c>
      <c r="C47" s="8"/>
      <c r="D47" s="8"/>
    </row>
    <row r="48" spans="1:4" x14ac:dyDescent="0.25">
      <c r="A48" s="8"/>
      <c r="B48" s="19" t="s">
        <v>188</v>
      </c>
      <c r="C48" s="8"/>
      <c r="D48" s="8"/>
    </row>
    <row r="49" spans="1:4" x14ac:dyDescent="0.25">
      <c r="A49" s="60" t="s">
        <v>49</v>
      </c>
      <c r="B49" s="60"/>
      <c r="C49" s="60"/>
      <c r="D49" s="61"/>
    </row>
    <row r="50" spans="1:4" x14ac:dyDescent="0.25">
      <c r="A50" s="17" t="s">
        <v>30</v>
      </c>
      <c r="B50" s="17" t="s">
        <v>7</v>
      </c>
      <c r="C50" s="44" t="s">
        <v>8</v>
      </c>
      <c r="D50" s="44" t="s">
        <v>9</v>
      </c>
    </row>
    <row r="51" spans="1:4" x14ac:dyDescent="0.25">
      <c r="A51" s="8"/>
      <c r="B51" s="47" t="s">
        <v>189</v>
      </c>
      <c r="C51" s="8"/>
      <c r="D51" s="8"/>
    </row>
    <row r="52" spans="1:4" x14ac:dyDescent="0.25">
      <c r="A52" s="8"/>
      <c r="B52" s="48" t="s">
        <v>190</v>
      </c>
      <c r="C52" s="53" t="s">
        <v>174</v>
      </c>
      <c r="D52" s="8" t="s">
        <v>175</v>
      </c>
    </row>
    <row r="53" spans="1:4" x14ac:dyDescent="0.25">
      <c r="A53" s="8"/>
      <c r="B53" s="49" t="s">
        <v>43</v>
      </c>
      <c r="C53" s="53" t="s">
        <v>174</v>
      </c>
      <c r="D53" s="8"/>
    </row>
    <row r="54" spans="1:4" x14ac:dyDescent="0.25">
      <c r="A54" s="8"/>
      <c r="B54" s="49" t="s">
        <v>44</v>
      </c>
      <c r="C54" s="53" t="s">
        <v>174</v>
      </c>
      <c r="D54" s="8"/>
    </row>
    <row r="55" spans="1:4" ht="30" x14ac:dyDescent="0.25">
      <c r="A55" s="8"/>
      <c r="B55" s="49" t="s">
        <v>86</v>
      </c>
      <c r="C55" s="53" t="s">
        <v>174</v>
      </c>
      <c r="D55" s="8"/>
    </row>
    <row r="56" spans="1:4" x14ac:dyDescent="0.25">
      <c r="A56" s="8"/>
      <c r="B56" s="49" t="s">
        <v>51</v>
      </c>
      <c r="C56" s="53" t="s">
        <v>174</v>
      </c>
      <c r="D56" s="8"/>
    </row>
    <row r="57" spans="1:4" ht="30" x14ac:dyDescent="0.25">
      <c r="A57" s="8"/>
      <c r="B57" s="49" t="s">
        <v>136</v>
      </c>
      <c r="C57" s="53" t="s">
        <v>174</v>
      </c>
      <c r="D57" s="8"/>
    </row>
    <row r="58" spans="1:4" x14ac:dyDescent="0.25">
      <c r="A58" s="8"/>
      <c r="B58" s="48" t="s">
        <v>48</v>
      </c>
      <c r="C58" s="53" t="s">
        <v>174</v>
      </c>
      <c r="D58" s="8"/>
    </row>
    <row r="59" spans="1:4" x14ac:dyDescent="0.25">
      <c r="A59" s="8"/>
      <c r="B59" s="47" t="s">
        <v>45</v>
      </c>
      <c r="C59" s="8"/>
      <c r="D59" s="8"/>
    </row>
    <row r="60" spans="1:4" x14ac:dyDescent="0.25">
      <c r="A60" s="8"/>
      <c r="B60" s="49" t="s">
        <v>46</v>
      </c>
      <c r="C60" s="53" t="s">
        <v>174</v>
      </c>
      <c r="D60" s="8"/>
    </row>
    <row r="61" spans="1:4" x14ac:dyDescent="0.25">
      <c r="A61" s="8"/>
      <c r="B61" s="49" t="s">
        <v>47</v>
      </c>
      <c r="C61" s="53" t="s">
        <v>174</v>
      </c>
      <c r="D61" s="8"/>
    </row>
    <row r="62" spans="1:4" x14ac:dyDescent="0.25">
      <c r="A62" s="8"/>
      <c r="B62" s="49" t="s">
        <v>191</v>
      </c>
      <c r="C62" s="53" t="s">
        <v>174</v>
      </c>
      <c r="D62" s="8"/>
    </row>
    <row r="63" spans="1:4" x14ac:dyDescent="0.25">
      <c r="A63" s="8"/>
      <c r="B63" s="49"/>
      <c r="C63" s="8"/>
      <c r="D63" s="8"/>
    </row>
    <row r="64" spans="1:4" x14ac:dyDescent="0.25">
      <c r="A64" s="8"/>
      <c r="B64" s="47" t="s">
        <v>134</v>
      </c>
      <c r="C64" s="8"/>
      <c r="D64" s="8"/>
    </row>
    <row r="65" spans="1:4" x14ac:dyDescent="0.25">
      <c r="A65" s="8"/>
      <c r="B65" s="49" t="s">
        <v>135</v>
      </c>
      <c r="C65" s="53" t="s">
        <v>174</v>
      </c>
      <c r="D65" s="8"/>
    </row>
    <row r="66" spans="1:4" x14ac:dyDescent="0.25">
      <c r="A66" s="60" t="s">
        <v>133</v>
      </c>
      <c r="B66" s="60"/>
      <c r="C66" s="60"/>
      <c r="D66" s="61"/>
    </row>
    <row r="67" spans="1:4" x14ac:dyDescent="0.25">
      <c r="A67" s="17" t="s">
        <v>30</v>
      </c>
      <c r="B67" s="17" t="s">
        <v>7</v>
      </c>
      <c r="C67" s="44" t="s">
        <v>8</v>
      </c>
      <c r="D67" s="44" t="s">
        <v>9</v>
      </c>
    </row>
    <row r="68" spans="1:4" x14ac:dyDescent="0.25">
      <c r="A68" s="8">
        <v>1</v>
      </c>
      <c r="B68" s="47" t="s">
        <v>253</v>
      </c>
      <c r="C68" s="8" t="s">
        <v>231</v>
      </c>
      <c r="D68" s="8"/>
    </row>
    <row r="69" spans="1:4" x14ac:dyDescent="0.25">
      <c r="A69" s="8"/>
      <c r="B69" s="49" t="s">
        <v>70</v>
      </c>
      <c r="C69" s="53" t="s">
        <v>174</v>
      </c>
      <c r="D69" s="8"/>
    </row>
    <row r="70" spans="1:4" x14ac:dyDescent="0.25">
      <c r="A70" s="8"/>
      <c r="B70" s="49" t="s">
        <v>71</v>
      </c>
      <c r="C70" s="53" t="s">
        <v>174</v>
      </c>
      <c r="D70" s="8"/>
    </row>
    <row r="71" spans="1:4" x14ac:dyDescent="0.25">
      <c r="A71" s="8"/>
      <c r="B71" s="49" t="s">
        <v>246</v>
      </c>
      <c r="C71" s="53" t="s">
        <v>174</v>
      </c>
      <c r="D71" s="8"/>
    </row>
    <row r="72" spans="1:4" x14ac:dyDescent="0.25">
      <c r="A72" s="8"/>
      <c r="B72" s="49" t="s">
        <v>247</v>
      </c>
      <c r="C72" s="53" t="s">
        <v>174</v>
      </c>
      <c r="D72" s="8"/>
    </row>
    <row r="73" spans="1:4" x14ac:dyDescent="0.25">
      <c r="A73" s="8"/>
      <c r="B73" s="49" t="s">
        <v>72</v>
      </c>
      <c r="C73" s="53" t="s">
        <v>174</v>
      </c>
      <c r="D73" s="8"/>
    </row>
    <row r="74" spans="1:4" x14ac:dyDescent="0.25">
      <c r="A74" s="8"/>
      <c r="B74" s="49" t="s">
        <v>73</v>
      </c>
      <c r="C74" s="53" t="s">
        <v>174</v>
      </c>
      <c r="D74" s="8"/>
    </row>
    <row r="75" spans="1:4" x14ac:dyDescent="0.25">
      <c r="A75" s="8"/>
      <c r="B75" s="49" t="s">
        <v>248</v>
      </c>
      <c r="C75" s="53" t="s">
        <v>174</v>
      </c>
      <c r="D75" s="8"/>
    </row>
    <row r="76" spans="1:4" x14ac:dyDescent="0.25">
      <c r="A76" s="8"/>
      <c r="B76" s="49" t="s">
        <v>249</v>
      </c>
      <c r="C76" s="53" t="s">
        <v>174</v>
      </c>
      <c r="D76" s="8"/>
    </row>
    <row r="77" spans="1:4" x14ac:dyDescent="0.25">
      <c r="A77" s="8"/>
      <c r="B77" s="49" t="s">
        <v>250</v>
      </c>
      <c r="C77" s="53" t="s">
        <v>174</v>
      </c>
      <c r="D77" s="8"/>
    </row>
    <row r="78" spans="1:4" x14ac:dyDescent="0.25">
      <c r="A78" s="8"/>
      <c r="B78" s="49" t="s">
        <v>251</v>
      </c>
      <c r="C78" s="53" t="s">
        <v>174</v>
      </c>
      <c r="D78" s="8"/>
    </row>
    <row r="79" spans="1:4" x14ac:dyDescent="0.25">
      <c r="A79" s="8"/>
      <c r="B79" s="49" t="s">
        <v>252</v>
      </c>
      <c r="C79" s="53" t="s">
        <v>174</v>
      </c>
      <c r="D79" s="8"/>
    </row>
    <row r="80" spans="1:4" x14ac:dyDescent="0.25">
      <c r="A80" s="8">
        <v>2</v>
      </c>
      <c r="B80" s="47" t="s">
        <v>137</v>
      </c>
      <c r="C80" s="53" t="s">
        <v>174</v>
      </c>
      <c r="D80" s="8"/>
    </row>
    <row r="81" spans="1:4" x14ac:dyDescent="0.25">
      <c r="A81" s="8"/>
      <c r="B81" s="49" t="s">
        <v>138</v>
      </c>
      <c r="C81" s="53" t="s">
        <v>174</v>
      </c>
      <c r="D81" s="8"/>
    </row>
    <row r="82" spans="1:4" x14ac:dyDescent="0.25">
      <c r="A82" s="8"/>
      <c r="B82" s="49" t="s">
        <v>122</v>
      </c>
      <c r="C82" s="53" t="s">
        <v>174</v>
      </c>
      <c r="D82" s="8"/>
    </row>
    <row r="83" spans="1:4" x14ac:dyDescent="0.25">
      <c r="A83" s="8"/>
      <c r="B83" s="49" t="s">
        <v>139</v>
      </c>
      <c r="C83" s="53" t="s">
        <v>174</v>
      </c>
      <c r="D83" s="8"/>
    </row>
    <row r="84" spans="1:4" x14ac:dyDescent="0.25">
      <c r="A84" s="8"/>
      <c r="B84" s="49" t="s">
        <v>140</v>
      </c>
      <c r="C84" s="53" t="s">
        <v>174</v>
      </c>
      <c r="D84" s="8"/>
    </row>
    <row r="85" spans="1:4" x14ac:dyDescent="0.25">
      <c r="A85" s="8"/>
      <c r="B85" s="49" t="s">
        <v>192</v>
      </c>
      <c r="C85" s="53" t="s">
        <v>174</v>
      </c>
      <c r="D85" s="8"/>
    </row>
    <row r="86" spans="1:4" x14ac:dyDescent="0.25">
      <c r="A86" s="8"/>
      <c r="B86" s="50" t="s">
        <v>75</v>
      </c>
      <c r="C86" s="53" t="s">
        <v>174</v>
      </c>
      <c r="D86" s="8"/>
    </row>
    <row r="87" spans="1:4" x14ac:dyDescent="0.25">
      <c r="A87" s="8"/>
      <c r="B87" s="49" t="s">
        <v>141</v>
      </c>
      <c r="C87" s="53" t="s">
        <v>174</v>
      </c>
      <c r="D87" s="8"/>
    </row>
    <row r="88" spans="1:4" x14ac:dyDescent="0.25">
      <c r="A88" s="8"/>
      <c r="B88" s="50" t="s">
        <v>76</v>
      </c>
      <c r="C88" s="53" t="s">
        <v>174</v>
      </c>
      <c r="D88" s="8"/>
    </row>
    <row r="89" spans="1:4" x14ac:dyDescent="0.25">
      <c r="A89" s="8"/>
      <c r="B89" s="49" t="s">
        <v>77</v>
      </c>
      <c r="C89" s="53" t="s">
        <v>174</v>
      </c>
      <c r="D89" s="8"/>
    </row>
    <row r="90" spans="1:4" x14ac:dyDescent="0.25">
      <c r="A90" s="8"/>
      <c r="B90" s="49" t="s">
        <v>84</v>
      </c>
      <c r="C90" s="53" t="s">
        <v>174</v>
      </c>
      <c r="D90" s="8"/>
    </row>
    <row r="91" spans="1:4" x14ac:dyDescent="0.25">
      <c r="A91" s="8">
        <v>3</v>
      </c>
      <c r="B91" s="47" t="s">
        <v>193</v>
      </c>
      <c r="C91" s="53" t="s">
        <v>174</v>
      </c>
      <c r="D91" s="8"/>
    </row>
    <row r="92" spans="1:4" x14ac:dyDescent="0.25">
      <c r="A92" s="8"/>
      <c r="B92" s="49" t="s">
        <v>226</v>
      </c>
      <c r="C92" s="53" t="s">
        <v>174</v>
      </c>
      <c r="D92" s="8"/>
    </row>
    <row r="93" spans="1:4" x14ac:dyDescent="0.25">
      <c r="A93" s="8"/>
      <c r="B93" s="49" t="s">
        <v>227</v>
      </c>
      <c r="C93" s="53" t="s">
        <v>174</v>
      </c>
      <c r="D93" s="8"/>
    </row>
    <row r="94" spans="1:4" x14ac:dyDescent="0.25">
      <c r="A94" s="8"/>
      <c r="B94" s="49" t="s">
        <v>78</v>
      </c>
      <c r="C94" s="8"/>
      <c r="D94" s="8"/>
    </row>
    <row r="95" spans="1:4" x14ac:dyDescent="0.25">
      <c r="A95" s="8"/>
      <c r="B95" s="51" t="s">
        <v>142</v>
      </c>
      <c r="C95" s="53" t="s">
        <v>174</v>
      </c>
      <c r="D95" s="8"/>
    </row>
    <row r="96" spans="1:4" x14ac:dyDescent="0.25">
      <c r="A96" s="8"/>
      <c r="B96" s="50" t="s">
        <v>85</v>
      </c>
      <c r="C96" s="53" t="s">
        <v>174</v>
      </c>
      <c r="D96" s="8"/>
    </row>
    <row r="97" spans="1:4" x14ac:dyDescent="0.25">
      <c r="A97" s="8"/>
      <c r="B97" s="50" t="s">
        <v>79</v>
      </c>
      <c r="C97" s="53" t="s">
        <v>174</v>
      </c>
      <c r="D97" s="8"/>
    </row>
    <row r="98" spans="1:4" x14ac:dyDescent="0.25">
      <c r="A98" s="8"/>
      <c r="B98" s="50" t="s">
        <v>80</v>
      </c>
      <c r="C98" s="53" t="s">
        <v>174</v>
      </c>
      <c r="D98" s="8"/>
    </row>
    <row r="99" spans="1:4" x14ac:dyDescent="0.25">
      <c r="A99" s="8"/>
      <c r="B99" s="50" t="s">
        <v>81</v>
      </c>
      <c r="C99" s="53" t="s">
        <v>174</v>
      </c>
      <c r="D99" s="8"/>
    </row>
    <row r="100" spans="1:4" x14ac:dyDescent="0.25">
      <c r="A100" s="8">
        <v>4</v>
      </c>
      <c r="B100" s="47" t="s">
        <v>194</v>
      </c>
      <c r="C100" s="8"/>
      <c r="D100" s="8"/>
    </row>
    <row r="101" spans="1:4" x14ac:dyDescent="0.25">
      <c r="A101" s="8"/>
      <c r="B101" s="50" t="s">
        <v>229</v>
      </c>
      <c r="C101" s="53" t="s">
        <v>174</v>
      </c>
      <c r="D101" s="8"/>
    </row>
    <row r="102" spans="1:4" x14ac:dyDescent="0.25">
      <c r="A102" s="8"/>
      <c r="B102" s="50" t="s">
        <v>230</v>
      </c>
      <c r="C102" s="53" t="s">
        <v>174</v>
      </c>
      <c r="D102" s="8"/>
    </row>
    <row r="103" spans="1:4" x14ac:dyDescent="0.25">
      <c r="A103" s="8"/>
      <c r="B103" s="50" t="s">
        <v>195</v>
      </c>
      <c r="C103" s="53" t="s">
        <v>174</v>
      </c>
      <c r="D103" s="8"/>
    </row>
    <row r="104" spans="1:4" x14ac:dyDescent="0.25">
      <c r="A104" s="8">
        <v>5</v>
      </c>
      <c r="B104" s="47" t="s">
        <v>143</v>
      </c>
      <c r="C104" s="8"/>
      <c r="D104" s="8"/>
    </row>
    <row r="105" spans="1:4" x14ac:dyDescent="0.25">
      <c r="A105" s="8"/>
      <c r="B105" s="49" t="s">
        <v>99</v>
      </c>
      <c r="C105" s="8" t="s">
        <v>231</v>
      </c>
      <c r="D105" s="8"/>
    </row>
    <row r="106" spans="1:4" x14ac:dyDescent="0.25">
      <c r="A106" s="8"/>
      <c r="B106" s="49" t="s">
        <v>100</v>
      </c>
      <c r="C106" s="8" t="s">
        <v>231</v>
      </c>
      <c r="D106" s="8"/>
    </row>
    <row r="107" spans="1:4" x14ac:dyDescent="0.25">
      <c r="A107" s="8">
        <v>6</v>
      </c>
      <c r="B107" s="47" t="s">
        <v>90</v>
      </c>
      <c r="C107" s="8"/>
      <c r="D107" s="8"/>
    </row>
    <row r="108" spans="1:4" x14ac:dyDescent="0.25">
      <c r="A108" s="8"/>
      <c r="B108" s="68" t="s">
        <v>196</v>
      </c>
      <c r="C108" s="8" t="s">
        <v>231</v>
      </c>
      <c r="D108" s="8"/>
    </row>
    <row r="109" spans="1:4" x14ac:dyDescent="0.25">
      <c r="A109" s="8"/>
      <c r="B109" s="49" t="s">
        <v>91</v>
      </c>
      <c r="C109" s="8" t="s">
        <v>231</v>
      </c>
      <c r="D109" s="8"/>
    </row>
    <row r="110" spans="1:4" x14ac:dyDescent="0.25">
      <c r="A110" s="8"/>
      <c r="B110" s="49" t="s">
        <v>197</v>
      </c>
      <c r="C110" s="8" t="s">
        <v>231</v>
      </c>
      <c r="D110" s="8"/>
    </row>
    <row r="111" spans="1:4" x14ac:dyDescent="0.25">
      <c r="A111" s="8"/>
      <c r="B111" s="49" t="s">
        <v>144</v>
      </c>
      <c r="C111" s="8" t="s">
        <v>231</v>
      </c>
      <c r="D111" s="8"/>
    </row>
    <row r="112" spans="1:4" x14ac:dyDescent="0.25">
      <c r="A112" s="8">
        <v>7</v>
      </c>
      <c r="B112" s="47" t="s">
        <v>145</v>
      </c>
      <c r="C112" s="53" t="s">
        <v>174</v>
      </c>
      <c r="D112" s="8"/>
    </row>
    <row r="113" spans="1:4" x14ac:dyDescent="0.25">
      <c r="A113" s="8"/>
      <c r="B113" s="49" t="s">
        <v>146</v>
      </c>
      <c r="C113" s="53" t="s">
        <v>174</v>
      </c>
      <c r="D113" s="8"/>
    </row>
    <row r="114" spans="1:4" x14ac:dyDescent="0.25">
      <c r="A114" s="8"/>
      <c r="B114" s="49" t="s">
        <v>147</v>
      </c>
      <c r="C114" s="53" t="s">
        <v>174</v>
      </c>
      <c r="D114" s="8"/>
    </row>
    <row r="115" spans="1:4" x14ac:dyDescent="0.25">
      <c r="A115" s="8"/>
      <c r="B115" s="49" t="s">
        <v>148</v>
      </c>
      <c r="C115" s="53" t="s">
        <v>174</v>
      </c>
      <c r="D115" s="8"/>
    </row>
    <row r="116" spans="1:4" x14ac:dyDescent="0.25">
      <c r="A116" s="8"/>
      <c r="B116" s="49" t="s">
        <v>149</v>
      </c>
      <c r="C116" s="53" t="s">
        <v>174</v>
      </c>
      <c r="D116" s="8"/>
    </row>
    <row r="117" spans="1:4" x14ac:dyDescent="0.25">
      <c r="A117" s="8"/>
      <c r="B117" s="49" t="s">
        <v>198</v>
      </c>
      <c r="C117" s="53" t="s">
        <v>174</v>
      </c>
      <c r="D117" s="8"/>
    </row>
    <row r="118" spans="1:4" x14ac:dyDescent="0.25">
      <c r="A118" s="8"/>
      <c r="B118" s="49"/>
      <c r="C118" s="8"/>
      <c r="D118" s="8"/>
    </row>
    <row r="119" spans="1:4" x14ac:dyDescent="0.25">
      <c r="A119" s="62" t="s">
        <v>106</v>
      </c>
      <c r="B119" s="62"/>
      <c r="C119" s="62"/>
      <c r="D119" s="62"/>
    </row>
    <row r="120" spans="1:4" x14ac:dyDescent="0.25">
      <c r="A120" s="18" t="s">
        <v>30</v>
      </c>
      <c r="B120" s="18" t="s">
        <v>7</v>
      </c>
      <c r="C120" s="18" t="s">
        <v>8</v>
      </c>
      <c r="D120" s="18" t="s">
        <v>9</v>
      </c>
    </row>
    <row r="121" spans="1:4" x14ac:dyDescent="0.25">
      <c r="A121" s="8">
        <v>1</v>
      </c>
      <c r="B121" s="47" t="s">
        <v>199</v>
      </c>
      <c r="C121" s="53" t="s">
        <v>174</v>
      </c>
      <c r="D121" s="8"/>
    </row>
    <row r="122" spans="1:4" x14ac:dyDescent="0.25">
      <c r="A122" s="8"/>
      <c r="B122" s="49" t="s">
        <v>107</v>
      </c>
      <c r="C122" s="53" t="s">
        <v>174</v>
      </c>
      <c r="D122" s="8"/>
    </row>
    <row r="123" spans="1:4" x14ac:dyDescent="0.25">
      <c r="A123" s="8"/>
      <c r="B123" s="49" t="s">
        <v>200</v>
      </c>
      <c r="C123" s="53" t="s">
        <v>174</v>
      </c>
      <c r="D123" s="8"/>
    </row>
    <row r="124" spans="1:4" x14ac:dyDescent="0.25">
      <c r="A124" s="8"/>
      <c r="B124" s="49" t="s">
        <v>233</v>
      </c>
      <c r="C124" s="53" t="s">
        <v>174</v>
      </c>
      <c r="D124" s="8"/>
    </row>
    <row r="125" spans="1:4" x14ac:dyDescent="0.25">
      <c r="A125" s="8"/>
      <c r="B125" s="49" t="s">
        <v>235</v>
      </c>
      <c r="C125" s="53" t="s">
        <v>174</v>
      </c>
      <c r="D125" s="8"/>
    </row>
    <row r="126" spans="1:4" x14ac:dyDescent="0.25">
      <c r="A126" s="8"/>
      <c r="B126" s="47" t="s">
        <v>108</v>
      </c>
      <c r="C126" s="53"/>
      <c r="D126" s="8"/>
    </row>
    <row r="127" spans="1:4" x14ac:dyDescent="0.25">
      <c r="A127" s="8"/>
      <c r="B127" s="49" t="s">
        <v>234</v>
      </c>
      <c r="C127" s="53" t="s">
        <v>174</v>
      </c>
      <c r="D127" s="8"/>
    </row>
    <row r="128" spans="1:4" x14ac:dyDescent="0.25">
      <c r="A128" s="8"/>
      <c r="B128" s="49" t="s">
        <v>236</v>
      </c>
      <c r="C128" s="53" t="s">
        <v>174</v>
      </c>
      <c r="D128" s="8"/>
    </row>
    <row r="129" spans="1:4" x14ac:dyDescent="0.25">
      <c r="A129" s="8"/>
      <c r="B129" s="49" t="s">
        <v>109</v>
      </c>
      <c r="C129" s="53" t="s">
        <v>174</v>
      </c>
      <c r="D129" s="8"/>
    </row>
    <row r="130" spans="1:4" x14ac:dyDescent="0.25">
      <c r="A130" s="8"/>
      <c r="B130" s="47" t="s">
        <v>237</v>
      </c>
      <c r="C130" s="53"/>
      <c r="D130" s="8"/>
    </row>
    <row r="131" spans="1:4" x14ac:dyDescent="0.25">
      <c r="A131" s="8"/>
      <c r="B131" s="49" t="s">
        <v>238</v>
      </c>
      <c r="C131" s="53"/>
      <c r="D131" s="8"/>
    </row>
    <row r="132" spans="1:4" x14ac:dyDescent="0.25">
      <c r="A132" s="8"/>
      <c r="B132" s="49" t="s">
        <v>239</v>
      </c>
      <c r="C132" s="53"/>
      <c r="D132" s="8"/>
    </row>
    <row r="133" spans="1:4" x14ac:dyDescent="0.25">
      <c r="A133" s="8"/>
      <c r="B133" s="49" t="s">
        <v>240</v>
      </c>
      <c r="C133" s="53"/>
      <c r="D133" s="8"/>
    </row>
    <row r="134" spans="1:4" x14ac:dyDescent="0.25">
      <c r="A134" s="62" t="s">
        <v>94</v>
      </c>
      <c r="B134" s="62"/>
      <c r="C134" s="62"/>
      <c r="D134" s="62"/>
    </row>
    <row r="135" spans="1:4" x14ac:dyDescent="0.25">
      <c r="A135" s="18" t="s">
        <v>30</v>
      </c>
      <c r="B135" s="18" t="s">
        <v>7</v>
      </c>
      <c r="C135" s="18" t="s">
        <v>8</v>
      </c>
      <c r="D135" s="18" t="s">
        <v>9</v>
      </c>
    </row>
    <row r="136" spans="1:4" x14ac:dyDescent="0.25">
      <c r="A136" s="8">
        <v>1</v>
      </c>
      <c r="B136" s="47" t="s">
        <v>95</v>
      </c>
      <c r="C136" s="53" t="s">
        <v>174</v>
      </c>
      <c r="D136" s="8"/>
    </row>
    <row r="137" spans="1:4" x14ac:dyDescent="0.25">
      <c r="A137" s="8"/>
      <c r="B137" s="49" t="s">
        <v>96</v>
      </c>
      <c r="C137" s="53" t="s">
        <v>174</v>
      </c>
      <c r="D137" s="8"/>
    </row>
    <row r="138" spans="1:4" x14ac:dyDescent="0.25">
      <c r="A138" s="8"/>
      <c r="B138" s="49" t="s">
        <v>201</v>
      </c>
      <c r="C138" s="53" t="s">
        <v>174</v>
      </c>
      <c r="D138" s="8"/>
    </row>
    <row r="139" spans="1:4" x14ac:dyDescent="0.25">
      <c r="A139" s="8"/>
      <c r="B139" s="49" t="s">
        <v>202</v>
      </c>
      <c r="C139" s="53" t="s">
        <v>174</v>
      </c>
      <c r="D139" s="8"/>
    </row>
    <row r="140" spans="1:4" x14ac:dyDescent="0.25">
      <c r="A140" s="8"/>
      <c r="B140" s="49" t="s">
        <v>132</v>
      </c>
      <c r="C140" s="53" t="s">
        <v>174</v>
      </c>
      <c r="D140" s="8"/>
    </row>
    <row r="141" spans="1:4" x14ac:dyDescent="0.25">
      <c r="A141" s="8"/>
      <c r="B141" s="49" t="s">
        <v>203</v>
      </c>
      <c r="C141" s="53" t="s">
        <v>174</v>
      </c>
      <c r="D141" s="8"/>
    </row>
    <row r="142" spans="1:4" x14ac:dyDescent="0.25">
      <c r="A142" s="8"/>
      <c r="B142" s="47" t="s">
        <v>90</v>
      </c>
      <c r="C142" s="8"/>
      <c r="D142" s="8"/>
    </row>
    <row r="143" spans="1:4" x14ac:dyDescent="0.25">
      <c r="A143" s="8"/>
      <c r="B143" s="49" t="s">
        <v>204</v>
      </c>
      <c r="C143" s="53"/>
      <c r="D143" s="8"/>
    </row>
    <row r="144" spans="1:4" x14ac:dyDescent="0.25">
      <c r="A144" s="8"/>
      <c r="B144" s="49" t="s">
        <v>91</v>
      </c>
      <c r="C144" s="53"/>
      <c r="D144" s="8"/>
    </row>
    <row r="145" spans="1:4" x14ac:dyDescent="0.25">
      <c r="A145" s="8"/>
      <c r="B145" s="49" t="s">
        <v>98</v>
      </c>
      <c r="C145" s="53"/>
      <c r="D145" s="8"/>
    </row>
    <row r="146" spans="1:4" x14ac:dyDescent="0.25">
      <c r="A146" s="8"/>
      <c r="B146" s="47" t="s">
        <v>93</v>
      </c>
      <c r="C146" s="53"/>
      <c r="D146" s="8"/>
    </row>
    <row r="147" spans="1:4" x14ac:dyDescent="0.25">
      <c r="A147" s="8"/>
      <c r="B147" s="49" t="s">
        <v>97</v>
      </c>
      <c r="C147" s="53" t="s">
        <v>174</v>
      </c>
      <c r="D147" s="8"/>
    </row>
    <row r="148" spans="1:4" x14ac:dyDescent="0.25">
      <c r="A148" s="62" t="s">
        <v>92</v>
      </c>
      <c r="B148" s="62"/>
      <c r="C148" s="62"/>
      <c r="D148" s="62"/>
    </row>
    <row r="149" spans="1:4" x14ac:dyDescent="0.25">
      <c r="A149" s="18" t="s">
        <v>30</v>
      </c>
      <c r="B149" s="18" t="s">
        <v>7</v>
      </c>
      <c r="C149" s="18" t="s">
        <v>8</v>
      </c>
      <c r="D149" s="18" t="s">
        <v>9</v>
      </c>
    </row>
    <row r="150" spans="1:4" x14ac:dyDescent="0.25">
      <c r="A150" s="8">
        <v>1</v>
      </c>
      <c r="B150" s="47" t="s">
        <v>89</v>
      </c>
      <c r="C150" s="8"/>
      <c r="D150" s="8"/>
    </row>
    <row r="151" spans="1:4" x14ac:dyDescent="0.25">
      <c r="A151" s="8"/>
      <c r="B151" s="49" t="s">
        <v>101</v>
      </c>
      <c r="C151" s="8" t="s">
        <v>228</v>
      </c>
      <c r="D151" s="8"/>
    </row>
    <row r="152" spans="1:4" x14ac:dyDescent="0.25">
      <c r="A152" s="8"/>
      <c r="B152" s="49" t="s">
        <v>131</v>
      </c>
      <c r="C152" s="8" t="s">
        <v>228</v>
      </c>
      <c r="D152" s="8"/>
    </row>
    <row r="153" spans="1:4" x14ac:dyDescent="0.25">
      <c r="A153" s="8"/>
      <c r="B153" s="49" t="s">
        <v>105</v>
      </c>
      <c r="C153" s="8" t="s">
        <v>228</v>
      </c>
      <c r="D153" s="8"/>
    </row>
    <row r="154" spans="1:4" x14ac:dyDescent="0.25">
      <c r="A154" s="8"/>
      <c r="B154" s="47" t="s">
        <v>93</v>
      </c>
      <c r="C154" s="8"/>
      <c r="D154" s="8"/>
    </row>
    <row r="155" spans="1:4" x14ac:dyDescent="0.25">
      <c r="A155" s="8"/>
      <c r="B155" s="49" t="s">
        <v>205</v>
      </c>
      <c r="C155" s="53" t="s">
        <v>174</v>
      </c>
      <c r="D155" s="8"/>
    </row>
    <row r="156" spans="1:4" x14ac:dyDescent="0.25">
      <c r="A156" s="8"/>
      <c r="B156" s="49" t="s">
        <v>102</v>
      </c>
      <c r="C156" s="53" t="s">
        <v>174</v>
      </c>
      <c r="D156" s="8"/>
    </row>
    <row r="157" spans="1:4" x14ac:dyDescent="0.25">
      <c r="A157" s="8"/>
      <c r="B157" s="49" t="s">
        <v>103</v>
      </c>
      <c r="C157" s="53" t="s">
        <v>174</v>
      </c>
      <c r="D157" s="8"/>
    </row>
    <row r="158" spans="1:4" x14ac:dyDescent="0.25">
      <c r="A158" s="8"/>
      <c r="B158" s="49" t="s">
        <v>104</v>
      </c>
      <c r="C158" s="53" t="s">
        <v>174</v>
      </c>
      <c r="D158" s="8"/>
    </row>
    <row r="159" spans="1:4" x14ac:dyDescent="0.25">
      <c r="A159" s="8"/>
      <c r="B159" s="49"/>
      <c r="C159" s="8"/>
      <c r="D159" s="8"/>
    </row>
    <row r="160" spans="1:4" x14ac:dyDescent="0.25">
      <c r="A160" s="62" t="s">
        <v>117</v>
      </c>
      <c r="B160" s="62"/>
      <c r="C160" s="62"/>
      <c r="D160" s="62"/>
    </row>
    <row r="161" spans="1:4" x14ac:dyDescent="0.25">
      <c r="A161" s="18" t="s">
        <v>30</v>
      </c>
      <c r="B161" s="18" t="s">
        <v>7</v>
      </c>
      <c r="C161" s="18" t="s">
        <v>8</v>
      </c>
      <c r="D161" s="18" t="s">
        <v>9</v>
      </c>
    </row>
    <row r="162" spans="1:4" x14ac:dyDescent="0.25">
      <c r="A162" s="65" t="s">
        <v>244</v>
      </c>
      <c r="B162" s="66"/>
      <c r="C162" s="66"/>
      <c r="D162" s="67"/>
    </row>
    <row r="163" spans="1:4" x14ac:dyDescent="0.25">
      <c r="A163" s="8">
        <v>1</v>
      </c>
      <c r="B163" s="47" t="s">
        <v>118</v>
      </c>
      <c r="C163" s="53"/>
      <c r="D163" s="8"/>
    </row>
    <row r="164" spans="1:4" ht="41.45" customHeight="1" x14ac:dyDescent="0.25">
      <c r="A164" s="8"/>
      <c r="B164" s="49" t="s">
        <v>206</v>
      </c>
      <c r="C164" s="53" t="s">
        <v>174</v>
      </c>
      <c r="D164" s="8"/>
    </row>
    <row r="165" spans="1:4" x14ac:dyDescent="0.25">
      <c r="A165" s="8"/>
      <c r="B165" s="49" t="s">
        <v>122</v>
      </c>
      <c r="C165" s="53" t="s">
        <v>174</v>
      </c>
      <c r="D165" s="8"/>
    </row>
    <row r="166" spans="1:4" x14ac:dyDescent="0.25">
      <c r="A166" s="8">
        <v>2</v>
      </c>
      <c r="B166" s="47" t="s">
        <v>119</v>
      </c>
      <c r="C166" s="53"/>
      <c r="D166" s="8"/>
    </row>
    <row r="167" spans="1:4" ht="30" x14ac:dyDescent="0.25">
      <c r="A167" s="8"/>
      <c r="B167" s="49" t="s">
        <v>123</v>
      </c>
      <c r="C167" s="53" t="s">
        <v>174</v>
      </c>
      <c r="D167" s="8"/>
    </row>
    <row r="168" spans="1:4" x14ac:dyDescent="0.25">
      <c r="A168" s="8"/>
      <c r="B168" s="49" t="s">
        <v>125</v>
      </c>
      <c r="C168" s="53" t="s">
        <v>174</v>
      </c>
      <c r="D168" s="8"/>
    </row>
    <row r="169" spans="1:4" x14ac:dyDescent="0.25">
      <c r="A169" s="8"/>
      <c r="B169" s="49" t="s">
        <v>207</v>
      </c>
      <c r="C169" s="53" t="s">
        <v>174</v>
      </c>
      <c r="D169" s="8"/>
    </row>
    <row r="170" spans="1:4" x14ac:dyDescent="0.25">
      <c r="A170" s="8"/>
      <c r="B170" s="49" t="s">
        <v>241</v>
      </c>
      <c r="C170" s="53" t="s">
        <v>174</v>
      </c>
      <c r="D170" s="8"/>
    </row>
    <row r="171" spans="1:4" x14ac:dyDescent="0.25">
      <c r="A171" s="8">
        <v>3</v>
      </c>
      <c r="B171" s="47" t="s">
        <v>120</v>
      </c>
      <c r="C171" s="53"/>
      <c r="D171" s="8"/>
    </row>
    <row r="172" spans="1:4" ht="30" x14ac:dyDescent="0.25">
      <c r="A172" s="8"/>
      <c r="B172" s="49" t="s">
        <v>124</v>
      </c>
      <c r="C172" s="53" t="s">
        <v>174</v>
      </c>
      <c r="D172" s="8"/>
    </row>
    <row r="173" spans="1:4" x14ac:dyDescent="0.25">
      <c r="A173" s="8"/>
      <c r="B173" s="49" t="s">
        <v>126</v>
      </c>
      <c r="C173" s="53" t="s">
        <v>174</v>
      </c>
      <c r="D173" s="8"/>
    </row>
    <row r="174" spans="1:4" x14ac:dyDescent="0.25">
      <c r="A174" s="8"/>
      <c r="B174" s="49" t="s">
        <v>127</v>
      </c>
      <c r="C174" s="53" t="s">
        <v>174</v>
      </c>
      <c r="D174" s="8"/>
    </row>
    <row r="175" spans="1:4" x14ac:dyDescent="0.25">
      <c r="A175" s="8"/>
      <c r="B175" s="49" t="s">
        <v>128</v>
      </c>
      <c r="C175" s="53" t="s">
        <v>174</v>
      </c>
      <c r="D175" s="8"/>
    </row>
    <row r="176" spans="1:4" x14ac:dyDescent="0.25">
      <c r="A176" s="8"/>
      <c r="B176" s="49"/>
      <c r="C176" s="8"/>
      <c r="D176" s="8"/>
    </row>
    <row r="177" spans="1:4" x14ac:dyDescent="0.25">
      <c r="A177" s="8">
        <v>4</v>
      </c>
      <c r="B177" s="47" t="s">
        <v>121</v>
      </c>
      <c r="C177" s="8"/>
      <c r="D177" s="8"/>
    </row>
    <row r="178" spans="1:4" ht="30" x14ac:dyDescent="0.25">
      <c r="A178" s="8"/>
      <c r="B178" s="49" t="s">
        <v>208</v>
      </c>
      <c r="C178" s="53" t="s">
        <v>174</v>
      </c>
      <c r="D178" s="8"/>
    </row>
    <row r="179" spans="1:4" x14ac:dyDescent="0.25">
      <c r="A179" s="8"/>
      <c r="B179" s="49" t="s">
        <v>129</v>
      </c>
      <c r="C179" s="53" t="s">
        <v>174</v>
      </c>
      <c r="D179" s="8"/>
    </row>
    <row r="180" spans="1:4" x14ac:dyDescent="0.25">
      <c r="A180" s="8"/>
      <c r="B180" s="49" t="s">
        <v>209</v>
      </c>
      <c r="C180" s="53" t="s">
        <v>174</v>
      </c>
      <c r="D180" s="8"/>
    </row>
    <row r="181" spans="1:4" x14ac:dyDescent="0.25">
      <c r="A181" s="8"/>
      <c r="B181" s="49" t="s">
        <v>130</v>
      </c>
      <c r="C181" s="53" t="s">
        <v>174</v>
      </c>
      <c r="D181" s="8"/>
    </row>
    <row r="182" spans="1:4" x14ac:dyDescent="0.25">
      <c r="A182" s="8"/>
      <c r="B182" s="49" t="s">
        <v>210</v>
      </c>
      <c r="C182" s="53" t="s">
        <v>174</v>
      </c>
      <c r="D182" s="8"/>
    </row>
    <row r="183" spans="1:4" x14ac:dyDescent="0.25">
      <c r="A183" s="8"/>
      <c r="B183" s="49"/>
      <c r="C183" s="8"/>
      <c r="D183" s="8"/>
    </row>
    <row r="184" spans="1:4" x14ac:dyDescent="0.25">
      <c r="A184" s="8"/>
      <c r="B184" s="49"/>
      <c r="C184" s="8"/>
      <c r="D184" s="8"/>
    </row>
    <row r="185" spans="1:4" x14ac:dyDescent="0.25">
      <c r="A185" s="62" t="s">
        <v>151</v>
      </c>
      <c r="B185" s="62"/>
      <c r="C185" s="62"/>
      <c r="D185" s="62"/>
    </row>
    <row r="186" spans="1:4" x14ac:dyDescent="0.25">
      <c r="A186" s="18" t="s">
        <v>30</v>
      </c>
      <c r="B186" s="18" t="s">
        <v>7</v>
      </c>
      <c r="C186" s="18" t="s">
        <v>8</v>
      </c>
      <c r="D186" s="18" t="s">
        <v>9</v>
      </c>
    </row>
    <row r="187" spans="1:4" x14ac:dyDescent="0.25">
      <c r="A187" s="8">
        <v>1</v>
      </c>
      <c r="B187" s="47" t="s">
        <v>152</v>
      </c>
      <c r="C187" s="8"/>
      <c r="D187" s="8"/>
    </row>
    <row r="188" spans="1:4" ht="18.600000000000001" customHeight="1" x14ac:dyDescent="0.25">
      <c r="A188" s="8"/>
      <c r="B188" s="49" t="s">
        <v>153</v>
      </c>
      <c r="C188" s="8" t="s">
        <v>245</v>
      </c>
      <c r="D188" s="8"/>
    </row>
    <row r="189" spans="1:4" x14ac:dyDescent="0.25">
      <c r="A189" s="8">
        <v>2</v>
      </c>
      <c r="B189" s="47" t="s">
        <v>154</v>
      </c>
      <c r="C189" s="8"/>
      <c r="D189" s="8"/>
    </row>
    <row r="190" spans="1:4" x14ac:dyDescent="0.25">
      <c r="A190" s="8"/>
      <c r="B190" s="49" t="s">
        <v>155</v>
      </c>
      <c r="C190" s="53" t="s">
        <v>174</v>
      </c>
      <c r="D190" s="8"/>
    </row>
    <row r="191" spans="1:4" x14ac:dyDescent="0.25">
      <c r="A191" s="8">
        <v>3</v>
      </c>
      <c r="B191" s="47" t="s">
        <v>156</v>
      </c>
      <c r="C191" s="53"/>
      <c r="D191" s="8"/>
    </row>
    <row r="192" spans="1:4" x14ac:dyDescent="0.25">
      <c r="A192" s="8"/>
      <c r="B192" s="49" t="s">
        <v>211</v>
      </c>
      <c r="C192" s="53" t="s">
        <v>174</v>
      </c>
      <c r="D192" s="8"/>
    </row>
    <row r="193" spans="1:4" x14ac:dyDescent="0.25">
      <c r="A193" s="8">
        <v>4</v>
      </c>
      <c r="B193" s="47" t="s">
        <v>157</v>
      </c>
      <c r="C193" s="8"/>
      <c r="D193" s="8"/>
    </row>
    <row r="194" spans="1:4" x14ac:dyDescent="0.25">
      <c r="A194" s="8"/>
      <c r="B194" s="49" t="s">
        <v>158</v>
      </c>
      <c r="C194" s="53" t="s">
        <v>174</v>
      </c>
      <c r="D194" s="8"/>
    </row>
    <row r="195" spans="1:4" x14ac:dyDescent="0.25">
      <c r="A195" s="8">
        <v>5</v>
      </c>
      <c r="B195" s="47" t="s">
        <v>159</v>
      </c>
      <c r="C195" s="8"/>
      <c r="D195" s="8"/>
    </row>
    <row r="196" spans="1:4" x14ac:dyDescent="0.25">
      <c r="A196" s="8"/>
      <c r="B196" s="49" t="s">
        <v>160</v>
      </c>
      <c r="C196" s="53" t="s">
        <v>174</v>
      </c>
      <c r="D196" s="8"/>
    </row>
    <row r="197" spans="1:4" x14ac:dyDescent="0.25">
      <c r="A197" s="8">
        <v>6</v>
      </c>
      <c r="B197" s="47" t="s">
        <v>161</v>
      </c>
      <c r="C197" s="8"/>
      <c r="D197" s="8"/>
    </row>
    <row r="198" spans="1:4" x14ac:dyDescent="0.25">
      <c r="A198" s="8"/>
      <c r="B198" s="49" t="s">
        <v>162</v>
      </c>
      <c r="C198" s="53" t="s">
        <v>174</v>
      </c>
      <c r="D198" s="8"/>
    </row>
    <row r="199" spans="1:4" x14ac:dyDescent="0.25">
      <c r="A199" s="8">
        <v>7</v>
      </c>
      <c r="B199" s="47" t="s">
        <v>163</v>
      </c>
      <c r="C199" s="8"/>
      <c r="D199" s="8"/>
    </row>
    <row r="200" spans="1:4" x14ac:dyDescent="0.25">
      <c r="A200" s="52" t="s">
        <v>169</v>
      </c>
      <c r="B200" s="54" t="s">
        <v>212</v>
      </c>
      <c r="C200" s="8" t="s">
        <v>245</v>
      </c>
      <c r="D200" s="8"/>
    </row>
    <row r="201" spans="1:4" x14ac:dyDescent="0.25">
      <c r="A201" s="52" t="s">
        <v>169</v>
      </c>
      <c r="B201" s="49" t="s">
        <v>164</v>
      </c>
      <c r="C201" s="8" t="s">
        <v>245</v>
      </c>
      <c r="D201" s="8"/>
    </row>
    <row r="202" spans="1:4" x14ac:dyDescent="0.25">
      <c r="A202" s="52" t="s">
        <v>169</v>
      </c>
      <c r="B202" s="49" t="s">
        <v>165</v>
      </c>
      <c r="C202" s="8" t="s">
        <v>245</v>
      </c>
      <c r="D202" s="8"/>
    </row>
    <row r="203" spans="1:4" x14ac:dyDescent="0.25">
      <c r="A203" s="52" t="s">
        <v>169</v>
      </c>
      <c r="B203" s="49" t="s">
        <v>166</v>
      </c>
      <c r="C203" s="8" t="s">
        <v>245</v>
      </c>
      <c r="D203" s="8"/>
    </row>
    <row r="204" spans="1:4" x14ac:dyDescent="0.25">
      <c r="A204" s="52" t="s">
        <v>169</v>
      </c>
      <c r="B204" s="49" t="s">
        <v>167</v>
      </c>
      <c r="C204" s="8" t="s">
        <v>245</v>
      </c>
      <c r="D204" s="8"/>
    </row>
    <row r="205" spans="1:4" x14ac:dyDescent="0.25">
      <c r="A205" s="52" t="s">
        <v>169</v>
      </c>
      <c r="B205" s="49" t="s">
        <v>168</v>
      </c>
      <c r="C205" s="8" t="s">
        <v>245</v>
      </c>
      <c r="D205" s="8"/>
    </row>
    <row r="206" spans="1:4" x14ac:dyDescent="0.25">
      <c r="A206" s="57" t="s">
        <v>176</v>
      </c>
      <c r="B206" s="58"/>
      <c r="C206" s="58"/>
      <c r="D206" s="59"/>
    </row>
    <row r="207" spans="1:4" x14ac:dyDescent="0.25">
      <c r="A207" s="8">
        <v>8</v>
      </c>
      <c r="B207" s="47" t="s">
        <v>170</v>
      </c>
      <c r="C207" s="8" t="s">
        <v>245</v>
      </c>
      <c r="D207" s="8"/>
    </row>
    <row r="208" spans="1:4" x14ac:dyDescent="0.25">
      <c r="A208" s="8">
        <v>9</v>
      </c>
      <c r="B208" s="47" t="s">
        <v>171</v>
      </c>
      <c r="C208" s="8" t="s">
        <v>245</v>
      </c>
      <c r="D208" s="8"/>
    </row>
    <row r="209" spans="1:4" x14ac:dyDescent="0.25">
      <c r="A209" s="8">
        <v>11</v>
      </c>
      <c r="B209" s="47" t="s">
        <v>177</v>
      </c>
      <c r="C209" s="8" t="s">
        <v>245</v>
      </c>
      <c r="D209" s="8"/>
    </row>
    <row r="210" spans="1:4" x14ac:dyDescent="0.25">
      <c r="A210" s="8">
        <v>12</v>
      </c>
      <c r="B210" s="47" t="s">
        <v>172</v>
      </c>
      <c r="C210" s="53" t="s">
        <v>174</v>
      </c>
      <c r="D210" s="8"/>
    </row>
    <row r="212" spans="1:4" x14ac:dyDescent="0.25">
      <c r="A212"/>
    </row>
    <row r="213" spans="1:4" x14ac:dyDescent="0.25">
      <c r="B213" s="56"/>
    </row>
    <row r="428" spans="2:4" ht="15.75" thickBot="1" x14ac:dyDescent="0.3"/>
    <row r="429" spans="2:4" ht="18.75" thickBot="1" x14ac:dyDescent="0.3">
      <c r="B429" s="14" t="s">
        <v>6</v>
      </c>
      <c r="C429" s="5"/>
      <c r="D429" s="6"/>
    </row>
    <row r="430" spans="2:4" ht="15.75" thickBot="1" x14ac:dyDescent="0.3">
      <c r="B430" s="15" t="s">
        <v>7</v>
      </c>
      <c r="C430" s="3" t="s">
        <v>8</v>
      </c>
      <c r="D430" s="3" t="s">
        <v>9</v>
      </c>
    </row>
    <row r="431" spans="2:4" ht="15.75" thickBot="1" x14ac:dyDescent="0.3">
      <c r="B431" s="16" t="s">
        <v>10</v>
      </c>
      <c r="C431" s="4" t="s">
        <v>11</v>
      </c>
      <c r="D431" s="4" t="s">
        <v>12</v>
      </c>
    </row>
    <row r="432" spans="2:4" ht="15.75" thickBot="1" x14ac:dyDescent="0.3">
      <c r="B432" s="16" t="s">
        <v>13</v>
      </c>
      <c r="C432" s="4" t="s">
        <v>11</v>
      </c>
      <c r="D432" s="4" t="s">
        <v>14</v>
      </c>
    </row>
    <row r="433" spans="2:4" ht="15.75" thickBot="1" x14ac:dyDescent="0.3">
      <c r="B433" s="16" t="s">
        <v>15</v>
      </c>
      <c r="C433" s="4" t="s">
        <v>11</v>
      </c>
      <c r="D433" s="4" t="s">
        <v>16</v>
      </c>
    </row>
    <row r="434" spans="2:4" ht="15.75" thickBot="1" x14ac:dyDescent="0.3">
      <c r="B434" s="16" t="s">
        <v>17</v>
      </c>
      <c r="C434" s="4" t="s">
        <v>11</v>
      </c>
      <c r="D434" s="4" t="s">
        <v>16</v>
      </c>
    </row>
    <row r="435" spans="2:4" ht="15.75" thickBot="1" x14ac:dyDescent="0.3">
      <c r="B435" s="16" t="s">
        <v>18</v>
      </c>
      <c r="C435" s="4" t="s">
        <v>11</v>
      </c>
      <c r="D435" s="4" t="s">
        <v>19</v>
      </c>
    </row>
    <row r="436" spans="2:4" ht="15.75" thickBot="1" x14ac:dyDescent="0.3"/>
    <row r="437" spans="2:4" ht="18.75" thickBot="1" x14ac:dyDescent="0.3">
      <c r="B437" s="14" t="s">
        <v>20</v>
      </c>
      <c r="C437" s="5"/>
      <c r="D437" s="6"/>
    </row>
    <row r="438" spans="2:4" ht="15.75" thickBot="1" x14ac:dyDescent="0.3">
      <c r="B438" s="15" t="s">
        <v>7</v>
      </c>
      <c r="C438" s="3" t="s">
        <v>21</v>
      </c>
      <c r="D438" s="3" t="s">
        <v>9</v>
      </c>
    </row>
    <row r="439" spans="2:4" ht="15.75" thickBot="1" x14ac:dyDescent="0.3">
      <c r="B439" s="16" t="s">
        <v>22</v>
      </c>
      <c r="C439" s="7">
        <v>45839</v>
      </c>
      <c r="D439" s="4"/>
    </row>
    <row r="440" spans="2:4" ht="15.75" thickBot="1" x14ac:dyDescent="0.3">
      <c r="B440" s="16" t="s">
        <v>23</v>
      </c>
      <c r="C440" s="7">
        <v>45839</v>
      </c>
      <c r="D440" s="4"/>
    </row>
    <row r="441" spans="2:4" ht="15.75" thickBot="1" x14ac:dyDescent="0.3">
      <c r="B441" s="16" t="s">
        <v>24</v>
      </c>
      <c r="C441" s="7">
        <v>45870</v>
      </c>
      <c r="D441" s="4" t="s">
        <v>25</v>
      </c>
    </row>
    <row r="442" spans="2:4" ht="15.75" thickBot="1" x14ac:dyDescent="0.3">
      <c r="B442" s="16" t="s">
        <v>26</v>
      </c>
      <c r="C442" s="7">
        <v>45870</v>
      </c>
      <c r="D442" s="4"/>
    </row>
    <row r="443" spans="2:4" ht="15.75" thickBot="1" x14ac:dyDescent="0.3">
      <c r="B443" s="16" t="s">
        <v>27</v>
      </c>
      <c r="C443" s="7">
        <v>45870</v>
      </c>
      <c r="D443" s="4"/>
    </row>
    <row r="444" spans="2:4" ht="15.75" thickBot="1" x14ac:dyDescent="0.3">
      <c r="B444" s="16" t="s">
        <v>28</v>
      </c>
      <c r="C444" s="7">
        <v>45870</v>
      </c>
      <c r="D444" s="4"/>
    </row>
  </sheetData>
  <mergeCells count="13">
    <mergeCell ref="A206:D206"/>
    <mergeCell ref="A1:D1"/>
    <mergeCell ref="A7:D7"/>
    <mergeCell ref="A34:D34"/>
    <mergeCell ref="A49:D49"/>
    <mergeCell ref="A66:D66"/>
    <mergeCell ref="A160:D160"/>
    <mergeCell ref="A185:D185"/>
    <mergeCell ref="A119:D119"/>
    <mergeCell ref="A22:D22"/>
    <mergeCell ref="A134:D134"/>
    <mergeCell ref="A148:D148"/>
    <mergeCell ref="A162:D162"/>
  </mergeCells>
  <phoneticPr fontId="15" type="noConversion"/>
  <pageMargins left="0.25" right="0.25" top="0.75" bottom="0.75" header="0.3" footer="0.3"/>
  <pageSetup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4387-B5BD-43BD-8011-361A0F26C9EF}">
  <dimension ref="A1:J4"/>
  <sheetViews>
    <sheetView workbookViewId="0">
      <selection activeCell="E21" sqref="E21"/>
    </sheetView>
  </sheetViews>
  <sheetFormatPr defaultRowHeight="15" x14ac:dyDescent="0.25"/>
  <sheetData>
    <row r="1" spans="1:10" x14ac:dyDescent="0.25">
      <c r="A1" s="55" t="s">
        <v>213</v>
      </c>
      <c r="B1" s="55" t="s">
        <v>214</v>
      </c>
      <c r="C1" s="55" t="s">
        <v>215</v>
      </c>
      <c r="D1" s="55" t="s">
        <v>216</v>
      </c>
      <c r="E1" s="55" t="s">
        <v>217</v>
      </c>
      <c r="F1" s="55" t="s">
        <v>218</v>
      </c>
      <c r="G1" s="55" t="s">
        <v>219</v>
      </c>
      <c r="H1" s="55" t="s">
        <v>220</v>
      </c>
      <c r="I1" s="55" t="s">
        <v>221</v>
      </c>
      <c r="J1" s="55" t="s">
        <v>222</v>
      </c>
    </row>
    <row r="2" spans="1:10" x14ac:dyDescent="0.25">
      <c r="A2" t="s">
        <v>223</v>
      </c>
      <c r="B2">
        <v>1200</v>
      </c>
      <c r="C2">
        <v>900</v>
      </c>
      <c r="D2">
        <v>30</v>
      </c>
      <c r="E2">
        <v>4</v>
      </c>
      <c r="F2">
        <f>C2/(D2*E2)</f>
        <v>7.5</v>
      </c>
      <c r="G2">
        <f>B2/1000*100</f>
        <v>120</v>
      </c>
      <c r="H2">
        <f>B2/(F2*D2)</f>
        <v>5.333333333333333</v>
      </c>
      <c r="I2">
        <f>B2/(F2*D2*E2)</f>
        <v>1.3333333333333333</v>
      </c>
      <c r="J2" t="str">
        <f>IF(I2&gt;1,"Overstock Risk",IF(I2&lt;1,"Stockout Risk","Balanced"))</f>
        <v>Overstock Risk</v>
      </c>
    </row>
    <row r="3" spans="1:10" x14ac:dyDescent="0.25">
      <c r="A3" t="s">
        <v>224</v>
      </c>
      <c r="B3">
        <v>800</v>
      </c>
      <c r="C3">
        <v>500</v>
      </c>
      <c r="D3">
        <v>20</v>
      </c>
      <c r="E3">
        <v>4</v>
      </c>
      <c r="F3">
        <f>C3/(D3*E3)</f>
        <v>6.25</v>
      </c>
      <c r="G3">
        <f>B3/1000*100</f>
        <v>80</v>
      </c>
      <c r="H3">
        <f>B3/(F3*D3)</f>
        <v>6.4</v>
      </c>
      <c r="I3">
        <f>B3/(F3*D3*E3)</f>
        <v>1.6</v>
      </c>
      <c r="J3" t="str">
        <f>IF(I3&gt;1,"Overstock Risk",IF(I3&lt;1,"Stockout Risk","Balanced"))</f>
        <v>Overstock Risk</v>
      </c>
    </row>
    <row r="4" spans="1:10" x14ac:dyDescent="0.25">
      <c r="A4" t="s">
        <v>225</v>
      </c>
      <c r="B4">
        <v>400</v>
      </c>
      <c r="C4">
        <v>600</v>
      </c>
      <c r="D4">
        <v>15</v>
      </c>
      <c r="E4">
        <v>4</v>
      </c>
      <c r="F4">
        <f>C4/(D4*E4)</f>
        <v>10</v>
      </c>
      <c r="G4">
        <f>B4/1000*100</f>
        <v>40</v>
      </c>
      <c r="H4">
        <f>B4/(F4*D4)</f>
        <v>2.6666666666666665</v>
      </c>
      <c r="I4">
        <f>B4/(F4*D4*E4)</f>
        <v>0.66666666666666663</v>
      </c>
      <c r="J4" t="str">
        <f>IF(I4&gt;1,"Overstock Risk",IF(I4&lt;1,"Stockout Risk","Balanced"))</f>
        <v>Stockout Risk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7CC7-3655-4E5C-B0BD-14B1361C530E}">
  <dimension ref="D2:X20"/>
  <sheetViews>
    <sheetView topLeftCell="C1" zoomScale="94" zoomScaleNormal="100" workbookViewId="0">
      <selection activeCell="N25" sqref="N25"/>
    </sheetView>
  </sheetViews>
  <sheetFormatPr defaultRowHeight="15" x14ac:dyDescent="0.25"/>
  <cols>
    <col min="7" max="7" width="19.5703125" hidden="1" customWidth="1"/>
    <col min="9" max="9" width="8.85546875" style="36"/>
    <col min="11" max="11" width="5.28515625" hidden="1" customWidth="1"/>
    <col min="16" max="16" width="7.28515625" hidden="1" customWidth="1"/>
    <col min="28" max="28" width="11.5703125" bestFit="1" customWidth="1"/>
    <col min="29" max="29" width="4.140625" bestFit="1" customWidth="1"/>
    <col min="30" max="30" width="12.85546875" bestFit="1" customWidth="1"/>
    <col min="31" max="31" width="6.42578125" bestFit="1" customWidth="1"/>
    <col min="32" max="32" width="12.85546875" bestFit="1" customWidth="1"/>
    <col min="33" max="33" width="13.28515625" bestFit="1" customWidth="1"/>
    <col min="34" max="34" width="18" bestFit="1" customWidth="1"/>
    <col min="35" max="35" width="20" bestFit="1" customWidth="1"/>
    <col min="36" max="36" width="16.7109375" bestFit="1" customWidth="1"/>
    <col min="37" max="37" width="12.42578125" bestFit="1" customWidth="1"/>
    <col min="38" max="38" width="14.85546875" bestFit="1" customWidth="1"/>
    <col min="39" max="39" width="15.5703125" bestFit="1" customWidth="1"/>
    <col min="40" max="40" width="9.7109375" bestFit="1" customWidth="1"/>
    <col min="41" max="41" width="19.7109375" bestFit="1" customWidth="1"/>
    <col min="42" max="42" width="7.28515625" bestFit="1" customWidth="1"/>
    <col min="43" max="43" width="16.7109375" bestFit="1" customWidth="1"/>
    <col min="44" max="44" width="22.28515625" bestFit="1" customWidth="1"/>
    <col min="45" max="45" width="17.85546875" bestFit="1" customWidth="1"/>
    <col min="46" max="46" width="27.28515625" bestFit="1" customWidth="1"/>
    <col min="47" max="47" width="18.42578125" bestFit="1" customWidth="1"/>
    <col min="48" max="48" width="17.28515625" bestFit="1" customWidth="1"/>
    <col min="49" max="49" width="13.140625" bestFit="1" customWidth="1"/>
    <col min="50" max="50" width="19" bestFit="1" customWidth="1"/>
  </cols>
  <sheetData>
    <row r="2" spans="4:24" x14ac:dyDescent="0.25">
      <c r="G2" t="s">
        <v>57</v>
      </c>
      <c r="L2" t="s">
        <v>58</v>
      </c>
      <c r="R2" s="32" t="s">
        <v>68</v>
      </c>
      <c r="S2" s="23"/>
      <c r="T2" s="23"/>
      <c r="U2" s="23"/>
      <c r="V2" s="23"/>
      <c r="W2" s="23"/>
      <c r="X2" s="24"/>
    </row>
    <row r="3" spans="4:24" x14ac:dyDescent="0.25">
      <c r="D3" s="38" t="s">
        <v>52</v>
      </c>
      <c r="E3" s="38" t="s">
        <v>53</v>
      </c>
      <c r="F3" s="38" t="s">
        <v>54</v>
      </c>
      <c r="G3" s="38" t="s">
        <v>55</v>
      </c>
      <c r="H3" s="38" t="s">
        <v>56</v>
      </c>
      <c r="I3" s="37"/>
      <c r="J3" s="20" t="s">
        <v>74</v>
      </c>
      <c r="K3" s="20" t="s">
        <v>52</v>
      </c>
      <c r="L3" s="20" t="s">
        <v>53</v>
      </c>
      <c r="M3" s="20" t="s">
        <v>54</v>
      </c>
      <c r="N3" s="20" t="s">
        <v>55</v>
      </c>
      <c r="P3" s="20" t="s">
        <v>56</v>
      </c>
      <c r="R3" s="20" t="s">
        <v>52</v>
      </c>
      <c r="S3" s="20" t="s">
        <v>53</v>
      </c>
      <c r="T3" s="20" t="s">
        <v>54</v>
      </c>
      <c r="U3" s="20" t="s">
        <v>56</v>
      </c>
      <c r="W3" s="25"/>
      <c r="X3" s="25"/>
    </row>
    <row r="4" spans="4:24" x14ac:dyDescent="0.25">
      <c r="D4" s="39">
        <v>45853</v>
      </c>
      <c r="E4" s="38">
        <v>1</v>
      </c>
      <c r="F4" s="38"/>
      <c r="G4" s="38"/>
      <c r="H4" s="38"/>
      <c r="I4" s="37"/>
      <c r="J4" s="20"/>
      <c r="K4" s="21"/>
      <c r="L4" s="20">
        <v>1</v>
      </c>
      <c r="M4" s="20"/>
      <c r="N4" s="20"/>
      <c r="P4" s="20"/>
      <c r="R4" s="21"/>
      <c r="S4" s="20">
        <v>1</v>
      </c>
      <c r="T4" s="20"/>
      <c r="U4" s="20"/>
      <c r="W4" s="25"/>
      <c r="X4" s="25"/>
    </row>
    <row r="5" spans="4:24" x14ac:dyDescent="0.25">
      <c r="D5" s="40">
        <v>45853</v>
      </c>
      <c r="E5" s="41">
        <v>1</v>
      </c>
      <c r="F5" s="38"/>
      <c r="G5" s="38"/>
      <c r="H5" s="38"/>
      <c r="I5" s="37"/>
      <c r="J5" s="20"/>
      <c r="K5" s="20"/>
      <c r="L5" s="20">
        <v>2</v>
      </c>
      <c r="M5" s="20"/>
      <c r="N5" s="20"/>
      <c r="P5" s="20"/>
      <c r="R5" s="20"/>
      <c r="S5" s="20">
        <v>2</v>
      </c>
      <c r="T5" s="20"/>
      <c r="U5" s="20"/>
      <c r="W5" s="25"/>
      <c r="X5" s="25"/>
    </row>
    <row r="6" spans="4:24" x14ac:dyDescent="0.25">
      <c r="D6" s="38"/>
      <c r="E6" s="38">
        <v>3</v>
      </c>
      <c r="F6" s="38"/>
      <c r="G6" s="38"/>
      <c r="H6" s="38"/>
      <c r="I6" s="37"/>
      <c r="J6" s="20"/>
      <c r="K6" s="20"/>
      <c r="L6" s="20">
        <v>3</v>
      </c>
      <c r="M6" s="20"/>
      <c r="N6" s="20"/>
      <c r="P6" s="20"/>
      <c r="R6" s="20"/>
      <c r="S6" s="20">
        <v>3</v>
      </c>
      <c r="T6" s="20"/>
      <c r="U6" s="20"/>
      <c r="W6" s="25"/>
      <c r="X6" s="25"/>
    </row>
    <row r="7" spans="4:24" x14ac:dyDescent="0.25">
      <c r="D7" s="38"/>
      <c r="E7" s="38">
        <v>4</v>
      </c>
      <c r="F7" s="38"/>
      <c r="G7" s="38"/>
      <c r="H7" s="38"/>
      <c r="I7" s="37"/>
      <c r="J7" s="20"/>
      <c r="K7" s="20"/>
      <c r="L7" s="20">
        <v>4</v>
      </c>
      <c r="M7" s="20"/>
      <c r="N7" s="20"/>
      <c r="P7" s="20"/>
      <c r="R7" s="20"/>
      <c r="S7" s="20">
        <v>4</v>
      </c>
      <c r="T7" s="20"/>
      <c r="U7" s="20"/>
      <c r="W7" s="25"/>
      <c r="X7" s="25"/>
    </row>
    <row r="8" spans="4:24" x14ac:dyDescent="0.25">
      <c r="D8" s="38"/>
      <c r="E8" s="38">
        <v>5</v>
      </c>
      <c r="F8" s="38"/>
      <c r="G8" s="38"/>
      <c r="H8" s="38"/>
      <c r="I8" s="37"/>
      <c r="J8" s="20"/>
      <c r="K8" s="20"/>
      <c r="L8" s="20">
        <v>5</v>
      </c>
      <c r="M8" s="20"/>
      <c r="N8" s="20"/>
      <c r="P8" s="20"/>
      <c r="R8" s="20"/>
      <c r="S8" s="20">
        <v>5</v>
      </c>
      <c r="T8" s="20"/>
      <c r="U8" s="20"/>
      <c r="W8" s="25"/>
      <c r="X8" s="25"/>
    </row>
    <row r="9" spans="4:24" x14ac:dyDescent="0.25">
      <c r="D9" s="38"/>
      <c r="E9" s="38">
        <v>6</v>
      </c>
      <c r="F9" s="38"/>
      <c r="G9" s="38"/>
      <c r="H9" s="38"/>
      <c r="I9" s="37"/>
      <c r="J9" s="20"/>
      <c r="K9" s="20"/>
      <c r="L9" s="20">
        <v>6</v>
      </c>
      <c r="M9" s="20"/>
      <c r="N9" s="20"/>
      <c r="P9" s="20"/>
      <c r="R9" s="26"/>
      <c r="X9" s="25"/>
    </row>
    <row r="10" spans="4:24" x14ac:dyDescent="0.25">
      <c r="D10" s="38"/>
      <c r="E10" s="38">
        <v>7</v>
      </c>
      <c r="F10" s="38"/>
      <c r="G10" s="38"/>
      <c r="H10" s="38"/>
      <c r="I10" s="37"/>
      <c r="J10" s="20"/>
      <c r="K10" s="20"/>
      <c r="L10" s="20">
        <v>7</v>
      </c>
      <c r="M10" s="20"/>
      <c r="N10" s="20"/>
      <c r="P10" s="20"/>
      <c r="R10" s="30" t="s">
        <v>61</v>
      </c>
      <c r="S10" s="31"/>
      <c r="T10" s="31" t="s">
        <v>63</v>
      </c>
      <c r="V10" t="s">
        <v>59</v>
      </c>
      <c r="X10" s="25"/>
    </row>
    <row r="11" spans="4:24" x14ac:dyDescent="0.25">
      <c r="D11" s="38"/>
      <c r="E11" s="38">
        <v>8</v>
      </c>
      <c r="F11" s="38"/>
      <c r="G11" s="38"/>
      <c r="H11" s="38"/>
      <c r="I11" s="37"/>
      <c r="J11" s="20"/>
      <c r="K11" s="20"/>
      <c r="L11" s="20">
        <v>8</v>
      </c>
      <c r="M11" s="20"/>
      <c r="N11" s="20"/>
      <c r="P11" s="20"/>
      <c r="R11" s="30" t="s">
        <v>62</v>
      </c>
      <c r="S11" s="31"/>
      <c r="T11" s="31"/>
      <c r="V11" s="22" t="s">
        <v>60</v>
      </c>
      <c r="W11" s="24" t="s">
        <v>66</v>
      </c>
      <c r="X11" s="24" t="s">
        <v>67</v>
      </c>
    </row>
    <row r="12" spans="4:24" x14ac:dyDescent="0.25">
      <c r="D12" s="38"/>
      <c r="E12" s="38">
        <v>9</v>
      </c>
      <c r="F12" s="38"/>
      <c r="G12" s="38"/>
      <c r="H12" s="38"/>
      <c r="I12" s="37"/>
      <c r="J12" s="20"/>
      <c r="K12" s="20"/>
      <c r="L12" s="20">
        <v>9</v>
      </c>
      <c r="M12" s="20"/>
      <c r="N12" s="20"/>
      <c r="P12" s="20"/>
      <c r="R12" s="26"/>
      <c r="V12" s="22" t="s">
        <v>64</v>
      </c>
      <c r="W12" s="24" t="s">
        <v>66</v>
      </c>
      <c r="X12" s="25" t="s">
        <v>67</v>
      </c>
    </row>
    <row r="13" spans="4:24" x14ac:dyDescent="0.25">
      <c r="D13" s="38"/>
      <c r="E13" s="38">
        <v>10</v>
      </c>
      <c r="F13" s="38"/>
      <c r="G13" s="38"/>
      <c r="H13" s="38"/>
      <c r="I13" s="37"/>
      <c r="J13" s="20"/>
      <c r="K13" s="20"/>
      <c r="L13" s="20">
        <v>10</v>
      </c>
      <c r="M13" s="20"/>
      <c r="N13" s="20"/>
      <c r="P13" s="20"/>
      <c r="R13" s="26"/>
      <c r="V13" s="33" t="s">
        <v>65</v>
      </c>
      <c r="W13" s="34" t="s">
        <v>66</v>
      </c>
      <c r="X13" s="29" t="s">
        <v>67</v>
      </c>
    </row>
    <row r="14" spans="4:24" x14ac:dyDescent="0.25">
      <c r="D14" s="38"/>
      <c r="E14" s="38">
        <v>11</v>
      </c>
      <c r="F14" s="38"/>
      <c r="G14" s="38"/>
      <c r="H14" s="38"/>
      <c r="I14" s="37"/>
      <c r="J14" s="20"/>
      <c r="K14" s="20"/>
      <c r="L14" s="20">
        <v>11</v>
      </c>
      <c r="M14" s="20"/>
      <c r="N14" s="20"/>
      <c r="P14" s="20"/>
      <c r="R14" s="26"/>
      <c r="V14" s="26"/>
      <c r="W14" s="25"/>
      <c r="X14" s="25"/>
    </row>
    <row r="15" spans="4:24" x14ac:dyDescent="0.25">
      <c r="D15" s="38"/>
      <c r="E15" s="38">
        <v>12</v>
      </c>
      <c r="F15" s="38"/>
      <c r="G15" s="38"/>
      <c r="H15" s="38"/>
      <c r="I15" s="37"/>
      <c r="J15" s="20"/>
      <c r="K15" s="20"/>
      <c r="L15" s="20">
        <v>12</v>
      </c>
      <c r="M15" s="20"/>
      <c r="N15" s="20"/>
      <c r="P15" s="20"/>
      <c r="R15" s="26"/>
      <c r="V15" s="26"/>
      <c r="W15" s="25"/>
      <c r="X15" s="25"/>
    </row>
    <row r="16" spans="4:24" x14ac:dyDescent="0.25">
      <c r="D16" s="38"/>
      <c r="E16" s="38">
        <v>13</v>
      </c>
      <c r="F16" s="38"/>
      <c r="G16" s="38"/>
      <c r="H16" s="38"/>
      <c r="I16" s="37"/>
      <c r="J16" s="20"/>
      <c r="K16" s="20"/>
      <c r="L16" s="20">
        <v>13</v>
      </c>
      <c r="M16" s="20"/>
      <c r="N16" s="20"/>
      <c r="P16" s="20"/>
      <c r="R16" s="26"/>
      <c r="V16" s="26"/>
      <c r="W16" s="25"/>
      <c r="X16" s="25"/>
    </row>
    <row r="17" spans="4:24" x14ac:dyDescent="0.25">
      <c r="D17" s="38"/>
      <c r="E17" s="38">
        <v>14</v>
      </c>
      <c r="F17" s="38"/>
      <c r="G17" s="38"/>
      <c r="H17" s="38"/>
      <c r="I17" s="37"/>
      <c r="J17" s="20"/>
      <c r="K17" s="20"/>
      <c r="L17" s="20">
        <v>14</v>
      </c>
      <c r="M17" s="20"/>
      <c r="N17" s="20"/>
      <c r="P17" s="20"/>
      <c r="R17" s="26"/>
      <c r="V17" s="27" t="s">
        <v>69</v>
      </c>
      <c r="W17" s="29"/>
      <c r="X17" s="25"/>
    </row>
    <row r="18" spans="4:24" x14ac:dyDescent="0.25">
      <c r="D18" s="38"/>
      <c r="E18" s="38">
        <v>15</v>
      </c>
      <c r="F18" s="38"/>
      <c r="G18" s="38"/>
      <c r="H18" s="38"/>
      <c r="I18" s="37"/>
      <c r="J18" s="20"/>
      <c r="K18" s="20"/>
      <c r="L18" s="20">
        <v>15</v>
      </c>
      <c r="M18" s="20"/>
      <c r="N18" s="20"/>
      <c r="P18" s="20"/>
      <c r="R18" s="26"/>
      <c r="X18" s="25"/>
    </row>
    <row r="19" spans="4:24" x14ac:dyDescent="0.25">
      <c r="D19" s="38"/>
      <c r="E19" s="38">
        <v>16</v>
      </c>
      <c r="F19" s="38"/>
      <c r="G19" s="38"/>
      <c r="H19" s="38"/>
      <c r="I19" s="37"/>
      <c r="J19" s="20"/>
      <c r="K19" s="20"/>
      <c r="L19" s="20">
        <v>16</v>
      </c>
      <c r="M19" s="20"/>
      <c r="N19" s="20"/>
      <c r="P19" s="20"/>
      <c r="R19" s="27"/>
      <c r="S19" s="28"/>
      <c r="T19" s="28"/>
      <c r="U19" s="28"/>
      <c r="V19" s="28"/>
      <c r="W19" s="28"/>
      <c r="X19" s="29"/>
    </row>
    <row r="20" spans="4:24" x14ac:dyDescent="0.25">
      <c r="D20" s="38"/>
      <c r="E20" s="38">
        <v>17</v>
      </c>
      <c r="F20" s="38"/>
      <c r="G20" s="38"/>
      <c r="H20" s="38"/>
      <c r="I20" s="37"/>
      <c r="J20" s="20"/>
      <c r="K20" s="20"/>
      <c r="L20" s="20">
        <v>17</v>
      </c>
      <c r="M20" s="20"/>
      <c r="N20" s="20"/>
      <c r="P20" s="2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76C1-2366-40CA-A9D9-8EE699F1545E}">
  <dimension ref="A1:A3"/>
  <sheetViews>
    <sheetView workbookViewId="0">
      <selection activeCell="A5" sqref="A5"/>
    </sheetView>
  </sheetViews>
  <sheetFormatPr defaultRowHeight="15" x14ac:dyDescent="0.25"/>
  <cols>
    <col min="1" max="1" width="47.28515625" bestFit="1" customWidth="1"/>
  </cols>
  <sheetData>
    <row r="1" spans="1:1" x14ac:dyDescent="0.25">
      <c r="A1" s="1" t="s">
        <v>83</v>
      </c>
    </row>
    <row r="2" spans="1:1" x14ac:dyDescent="0.25">
      <c r="A2" s="35" t="s">
        <v>42</v>
      </c>
    </row>
    <row r="3" spans="1:1" x14ac:dyDescent="0.25">
      <c r="A3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2F758D10260B47A028B559DA2ED517" ma:contentTypeVersion="16" ma:contentTypeDescription="Create a new document." ma:contentTypeScope="" ma:versionID="92702ac7f3074c13da45405aa9fa2b42">
  <xsd:schema xmlns:xsd="http://www.w3.org/2001/XMLSchema" xmlns:xs="http://www.w3.org/2001/XMLSchema" xmlns:p="http://schemas.microsoft.com/office/2006/metadata/properties" xmlns:ns3="56483f05-18d0-4b4e-84b4-9b5acaf31338" xmlns:ns4="19edcb1d-d6b6-45c6-ae13-475c00deee3b" targetNamespace="http://schemas.microsoft.com/office/2006/metadata/properties" ma:root="true" ma:fieldsID="776d9d86282bd7b226e03fe9a38e00c0" ns3:_="" ns4:_="">
    <xsd:import namespace="56483f05-18d0-4b4e-84b4-9b5acaf31338"/>
    <xsd:import namespace="19edcb1d-d6b6-45c6-ae13-475c00deee3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83f05-18d0-4b4e-84b4-9b5acaf3133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edcb1d-d6b6-45c6-ae13-475c00deee3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483f05-18d0-4b4e-84b4-9b5acaf31338" xsi:nil="true"/>
  </documentManagement>
</p:properties>
</file>

<file path=customXml/itemProps1.xml><?xml version="1.0" encoding="utf-8"?>
<ds:datastoreItem xmlns:ds="http://schemas.openxmlformats.org/officeDocument/2006/customXml" ds:itemID="{2FEB5BEE-1473-444D-8B24-D3A0E84BAA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F7ABAF-FE24-45E2-B3FA-F93F0FB109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483f05-18d0-4b4e-84b4-9b5acaf31338"/>
    <ds:schemaRef ds:uri="19edcb1d-d6b6-45c6-ae13-475c00deee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299E9B-AE32-48CE-BEF2-7A37B8656583}">
  <ds:schemaRefs>
    <ds:schemaRef ds:uri="http://purl.org/dc/elements/1.1/"/>
    <ds:schemaRef ds:uri="http://schemas.microsoft.com/office/infopath/2007/PartnerControls"/>
    <ds:schemaRef ds:uri="56483f05-18d0-4b4e-84b4-9b5acaf31338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19edcb1d-d6b6-45c6-ae13-475c00deee3b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00cef4e1-ca8e-46b3-835c-418218121c69}" enabled="0" method="" siteId="{00cef4e1-ca8e-46b3-835c-418218121c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Development Doc</vt:lpstr>
      <vt:lpstr>Velocity</vt:lpstr>
      <vt:lpstr>Wireframes</vt:lpstr>
      <vt:lpstr>Adil-Bhi Related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Zafar Iqbal</dc:creator>
  <cp:lastModifiedBy>Bilal Zafar Iqbal</cp:lastModifiedBy>
  <cp:lastPrinted>2025-08-25T06:08:08Z</cp:lastPrinted>
  <dcterms:created xsi:type="dcterms:W3CDTF">2025-07-15T06:25:36Z</dcterms:created>
  <dcterms:modified xsi:type="dcterms:W3CDTF">2025-11-18T06:41:52Z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0x010100682F758D10260B47A028B559DA2ED517</vt:lpwstr>
  </property>
</Properties>
</file>