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qbal\OneDrive - Al Faisaliah Group\Sales Pulse (Sell-out Tracking for Finance)\Related Documents\"/>
    </mc:Choice>
  </mc:AlternateContent>
  <xr:revisionPtr revIDLastSave="0" documentId="13_ncr:1_{220CB6DF-29AA-4FDB-89E8-1B4C1E935E8A}" xr6:coauthVersionLast="47" xr6:coauthVersionMax="47" xr10:uidLastSave="{00000000-0000-0000-0000-000000000000}"/>
  <bookViews>
    <workbookView xWindow="-120" yWindow="-16320" windowWidth="29040" windowHeight="15720" firstSheet="3" activeTab="3" xr2:uid="{2900B099-76AA-4EEC-BB0F-F0B55B6B701D}"/>
  </bookViews>
  <sheets>
    <sheet name="Sheet2" sheetId="2" state="hidden" r:id="rId1"/>
    <sheet name="Sheet3" sheetId="3" state="hidden" r:id="rId2"/>
    <sheet name="Sheet4" sheetId="4" state="hidden" r:id="rId3"/>
    <sheet name="Sheet1" sheetId="1" r:id="rId4"/>
  </sheets>
  <externalReferences>
    <externalReference r:id="rId5"/>
  </externalReferences>
  <definedNames>
    <definedName name="_xlnm._FilterDatabase" localSheetId="3" hidden="1">Sheet1!$A$1:$D$465</definedName>
    <definedName name="_xlnm._FilterDatabase" localSheetId="0" hidden="1">Sheet2!$C$5:$C$271</definedName>
    <definedName name="_xlnm._FilterDatabase" localSheetId="2" hidden="1">Sheet4!$A$1:$C$88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5" i="1" l="1"/>
  <c r="D314" i="1"/>
  <c r="D212" i="1"/>
  <c r="D140" i="1"/>
  <c r="D6" i="1"/>
  <c r="D139" i="1"/>
  <c r="D435" i="1"/>
  <c r="D434" i="1"/>
  <c r="D4" i="1"/>
  <c r="D3" i="1"/>
  <c r="D2" i="1"/>
  <c r="D138" i="1"/>
  <c r="D137" i="1"/>
  <c r="D433" i="1"/>
  <c r="D81" i="1"/>
  <c r="D80" i="1"/>
  <c r="D432" i="1"/>
  <c r="D79" i="1"/>
  <c r="D431" i="1"/>
  <c r="D313" i="1"/>
  <c r="D136" i="1"/>
  <c r="D152" i="1"/>
  <c r="D132" i="1"/>
  <c r="D256" i="1"/>
  <c r="D409" i="1"/>
  <c r="D287" i="1"/>
  <c r="D286" i="1"/>
  <c r="D371" i="1"/>
  <c r="D126" i="1"/>
  <c r="D353" i="1"/>
  <c r="D151" i="1"/>
  <c r="D352" i="1"/>
  <c r="D150" i="1"/>
  <c r="D285" i="1"/>
  <c r="D149" i="1"/>
  <c r="D370" i="1"/>
  <c r="D351" i="1"/>
  <c r="D408" i="1"/>
  <c r="D350" i="1"/>
  <c r="D369" i="1"/>
  <c r="D131" i="1"/>
  <c r="D125" i="1"/>
  <c r="D255" i="1"/>
  <c r="D284" i="1"/>
  <c r="D254" i="1"/>
  <c r="D283" i="1"/>
  <c r="D253" i="1"/>
  <c r="D292" i="1"/>
  <c r="D291" i="1"/>
  <c r="D312" i="1"/>
  <c r="D311" i="1"/>
  <c r="D340" i="1"/>
  <c r="D18" i="1"/>
  <c r="D339" i="1"/>
  <c r="D121" i="1"/>
  <c r="D120" i="1"/>
  <c r="D456" i="1"/>
  <c r="D105" i="1"/>
  <c r="D358" i="1"/>
  <c r="D338" i="1"/>
  <c r="D337" i="1"/>
  <c r="D425" i="1"/>
  <c r="D17" i="1"/>
  <c r="D104" i="1"/>
  <c r="D16" i="1"/>
  <c r="D357" i="1"/>
  <c r="D111" i="1"/>
  <c r="D27" i="1"/>
  <c r="D26" i="1"/>
  <c r="D424" i="1"/>
  <c r="D455" i="1"/>
  <c r="D15" i="1"/>
  <c r="D110" i="1"/>
  <c r="D242" i="1"/>
  <c r="D241" i="1"/>
  <c r="D310" i="1"/>
  <c r="D309" i="1"/>
  <c r="D308" i="1"/>
  <c r="C270" i="2"/>
  <c r="D430" i="1" s="1"/>
  <c r="C269" i="2"/>
  <c r="D332" i="1" s="1"/>
  <c r="C268" i="2"/>
  <c r="D176" i="1" s="1"/>
  <c r="C267" i="2"/>
  <c r="D208" i="1" s="1"/>
  <c r="C266" i="2"/>
  <c r="D365" i="1" s="1"/>
  <c r="C265" i="2"/>
  <c r="D169" i="1" s="1"/>
  <c r="C264" i="2"/>
  <c r="D190" i="1" s="1"/>
  <c r="C263" i="2"/>
  <c r="D119" i="1" s="1"/>
  <c r="C262" i="2"/>
  <c r="D177" i="1" s="1"/>
  <c r="C261" i="2"/>
  <c r="D76" i="1" s="1"/>
  <c r="C260" i="2"/>
  <c r="D179" i="1" s="1"/>
  <c r="C259" i="2"/>
  <c r="D55" i="1" s="1"/>
  <c r="C258" i="2"/>
  <c r="D333" i="1" s="1"/>
  <c r="C257" i="2"/>
  <c r="D457" i="1" s="1"/>
  <c r="C256" i="2"/>
  <c r="D173" i="1" s="1"/>
  <c r="C255" i="2"/>
  <c r="D372" i="1" s="1"/>
  <c r="C254" i="2"/>
  <c r="D188" i="1" s="1"/>
  <c r="C253" i="2"/>
  <c r="D368" i="1" s="1"/>
  <c r="C252" i="2"/>
  <c r="D183" i="1" s="1"/>
  <c r="C251" i="2"/>
  <c r="D37" i="1" s="1"/>
  <c r="C250" i="2"/>
  <c r="D182" i="1" s="1"/>
  <c r="C249" i="2"/>
  <c r="D315" i="1" s="1"/>
  <c r="C248" i="2"/>
  <c r="D213" i="1" s="1"/>
  <c r="C247" i="2"/>
  <c r="D113" i="1" s="1"/>
  <c r="C246" i="2"/>
  <c r="D186" i="1" s="1"/>
  <c r="C245" i="2"/>
  <c r="D91" i="1" s="1"/>
  <c r="C244" i="2"/>
  <c r="D236" i="1" s="1"/>
  <c r="C243" i="2"/>
  <c r="D429" i="1" s="1"/>
  <c r="C242" i="2"/>
  <c r="D210" i="1" s="1"/>
  <c r="C241" i="2"/>
  <c r="D88" i="1" s="1"/>
  <c r="C240" i="2"/>
  <c r="D293" i="1" s="1"/>
  <c r="C239" i="2"/>
  <c r="D266" i="1" s="1"/>
  <c r="C238" i="2"/>
  <c r="D209" i="1" s="1"/>
  <c r="C237" i="2"/>
  <c r="D13" i="1" s="1"/>
  <c r="C236" i="2"/>
  <c r="D427" i="1" s="1"/>
  <c r="C235" i="2"/>
  <c r="D436" i="1" s="1"/>
  <c r="C234" i="2"/>
  <c r="D373" i="1" s="1"/>
  <c r="C233" i="2"/>
  <c r="D230" i="1" s="1"/>
  <c r="C232" i="2"/>
  <c r="D191" i="1" s="1"/>
  <c r="C231" i="2"/>
  <c r="D461" i="1" s="1"/>
  <c r="C230" i="2"/>
  <c r="D354" i="1" s="1"/>
  <c r="C229" i="2"/>
  <c r="D87" i="1" s="1"/>
  <c r="C228" i="2"/>
  <c r="D195" i="1" s="1"/>
  <c r="C227" i="2"/>
  <c r="D290" i="1" s="1"/>
  <c r="C225" i="2"/>
  <c r="D52" i="1" s="1"/>
  <c r="C224" i="2"/>
  <c r="D99" i="1" s="1"/>
  <c r="C223" i="2"/>
  <c r="D344" i="1" s="1"/>
  <c r="C222" i="2"/>
  <c r="D269" i="1" s="1"/>
  <c r="C221" i="2"/>
  <c r="D193" i="1" s="1"/>
  <c r="C220" i="2"/>
  <c r="D59" i="1" s="1"/>
  <c r="C219" i="2"/>
  <c r="D459" i="1" s="1"/>
  <c r="C218" i="2"/>
  <c r="D189" i="1" s="1"/>
  <c r="C217" i="2"/>
  <c r="D267" i="1" s="1"/>
  <c r="C216" i="2"/>
  <c r="D192" i="1" s="1"/>
  <c r="C215" i="2"/>
  <c r="D454" i="1" s="1"/>
  <c r="C214" i="2"/>
  <c r="D234" i="1" s="1"/>
  <c r="C213" i="2"/>
  <c r="D360" i="1" s="1"/>
  <c r="C212" i="2"/>
  <c r="D252" i="1" s="1"/>
  <c r="C211" i="2"/>
  <c r="D194" i="1" s="1"/>
  <c r="C210" i="2"/>
  <c r="D297" i="1" s="1"/>
  <c r="C209" i="2"/>
  <c r="D9" i="1" s="1"/>
  <c r="C208" i="2"/>
  <c r="D21" i="1" s="1"/>
  <c r="C207" i="2"/>
  <c r="D462" i="1" s="1"/>
  <c r="C206" i="2"/>
  <c r="D22" i="1" s="1"/>
  <c r="C205" i="2"/>
  <c r="D48" i="1" s="1"/>
  <c r="C204" i="2"/>
  <c r="D318" i="1" s="1"/>
  <c r="C203" i="2"/>
  <c r="D398" i="1" s="1"/>
  <c r="C202" i="2"/>
  <c r="D5" i="1" s="1"/>
  <c r="C201" i="2"/>
  <c r="D438" i="1" s="1"/>
  <c r="C200" i="2"/>
  <c r="D103" i="1" s="1"/>
  <c r="C199" i="2"/>
  <c r="D7" i="1" s="1"/>
  <c r="C198" i="2"/>
  <c r="D54" i="1" s="1"/>
  <c r="C197" i="2"/>
  <c r="D288" i="1" s="1"/>
  <c r="C196" i="2"/>
  <c r="D25" i="1" s="1"/>
  <c r="C195" i="2"/>
  <c r="D42" i="1" s="1"/>
  <c r="C194" i="2"/>
  <c r="D156" i="1" s="1"/>
  <c r="C192" i="2"/>
  <c r="D115" i="1" s="1"/>
  <c r="C190" i="2"/>
  <c r="D14" i="1" s="1"/>
  <c r="C189" i="2"/>
  <c r="D60" i="1" s="1"/>
  <c r="C188" i="2"/>
  <c r="D224" i="1" s="1"/>
  <c r="C187" i="2"/>
  <c r="D399" i="1" s="1"/>
  <c r="C186" i="2"/>
  <c r="D460" i="1" s="1"/>
  <c r="C185" i="2"/>
  <c r="D463" i="1" s="1"/>
  <c r="C184" i="2"/>
  <c r="D437" i="1" s="1"/>
  <c r="C183" i="2"/>
  <c r="D239" i="1" s="1"/>
  <c r="C182" i="2"/>
  <c r="D174" i="1" s="1"/>
  <c r="C181" i="2"/>
  <c r="D11" i="1" s="1"/>
  <c r="C180" i="2"/>
  <c r="D178" i="1" s="1"/>
  <c r="C179" i="2"/>
  <c r="D62" i="1" s="1"/>
  <c r="C178" i="2"/>
  <c r="D56" i="1" s="1"/>
  <c r="C177" i="2"/>
  <c r="D98" i="1" s="1"/>
  <c r="C176" i="2"/>
  <c r="D180" i="1" s="1"/>
  <c r="C175" i="2"/>
  <c r="D36" i="1" s="1"/>
  <c r="C174" i="2"/>
  <c r="D181" i="1" s="1"/>
  <c r="C173" i="2"/>
  <c r="D102" i="1" s="1"/>
  <c r="C172" i="2"/>
  <c r="D187" i="1" s="1"/>
  <c r="C171" i="2"/>
  <c r="D34" i="1" s="1"/>
  <c r="C170" i="2"/>
  <c r="D294" i="1" s="1"/>
  <c r="C169" i="2"/>
  <c r="D78" i="1" s="1"/>
  <c r="C168" i="2"/>
  <c r="D249" i="1" s="1"/>
  <c r="C167" i="2"/>
  <c r="D453" i="1" s="1"/>
  <c r="C166" i="2"/>
  <c r="D24" i="1" s="1"/>
  <c r="C165" i="2"/>
  <c r="D464" i="1" s="1"/>
  <c r="C164" i="2"/>
  <c r="D450" i="1" s="1"/>
  <c r="C163" i="2"/>
  <c r="D19" i="1" s="1"/>
  <c r="C162" i="2"/>
  <c r="D235" i="1" s="1"/>
  <c r="C161" i="2"/>
  <c r="D122" i="1" s="1"/>
  <c r="C160" i="2"/>
  <c r="D289" i="1" s="1"/>
  <c r="C159" i="2"/>
  <c r="D118" i="1" s="1"/>
  <c r="C158" i="2"/>
  <c r="D47" i="1" s="1"/>
  <c r="C157" i="2"/>
  <c r="D426" i="1" s="1"/>
  <c r="C156" i="2"/>
  <c r="D415" i="1" s="1"/>
  <c r="C155" i="2"/>
  <c r="D458" i="1" s="1"/>
  <c r="C154" i="2"/>
  <c r="D268" i="1" s="1"/>
  <c r="C153" i="2"/>
  <c r="D92" i="1" s="1"/>
  <c r="C152" i="2"/>
  <c r="D23" i="1" s="1"/>
  <c r="C151" i="2"/>
  <c r="D35" i="1" s="1"/>
  <c r="C150" i="2"/>
  <c r="D12" i="1" s="1"/>
  <c r="C148" i="2"/>
  <c r="D356" i="1" s="1"/>
  <c r="C147" i="2"/>
  <c r="D8" i="1" s="1"/>
  <c r="C146" i="2"/>
  <c r="D61" i="1" s="1"/>
  <c r="C145" i="2"/>
  <c r="D343" i="1" s="1"/>
  <c r="C144" i="2"/>
  <c r="D148" i="1" s="1"/>
  <c r="C143" i="2"/>
  <c r="D53" i="1" s="1"/>
  <c r="C142" i="2"/>
  <c r="D85" i="1" s="1"/>
  <c r="C141" i="2"/>
  <c r="D231" i="1" s="1"/>
  <c r="C140" i="2"/>
  <c r="D57" i="1" s="1"/>
  <c r="C139" i="2"/>
  <c r="D77" i="1" s="1"/>
  <c r="C138" i="2"/>
  <c r="D211" i="1" s="1"/>
  <c r="C137" i="2"/>
  <c r="D86" i="1" s="1"/>
  <c r="C136" i="2"/>
  <c r="D185" i="1" s="1"/>
  <c r="C135" i="2"/>
  <c r="D89" i="1" s="1"/>
  <c r="C134" i="2"/>
  <c r="D274" i="1" s="1"/>
  <c r="C133" i="2"/>
  <c r="D223" i="1" s="1"/>
  <c r="C132" i="2"/>
  <c r="D403" i="1" s="1"/>
  <c r="C131" i="2"/>
  <c r="D168" i="1" s="1"/>
  <c r="C130" i="2"/>
  <c r="D112" i="1" s="1"/>
  <c r="C129" i="2"/>
  <c r="D374" i="1" s="1"/>
  <c r="C128" i="2"/>
  <c r="D428" i="1" s="1"/>
  <c r="C127" i="2"/>
  <c r="D84" i="1" s="1"/>
  <c r="C126" i="2"/>
  <c r="D20" i="1" s="1"/>
  <c r="C125" i="2"/>
  <c r="D243" i="1" s="1"/>
  <c r="C124" i="2"/>
  <c r="D452" i="1" s="1"/>
  <c r="C123" i="2"/>
  <c r="D451" i="1" s="1"/>
  <c r="C122" i="2"/>
  <c r="D90" i="1" s="1"/>
  <c r="C121" i="2"/>
  <c r="D164" i="1" s="1"/>
  <c r="C120" i="2"/>
  <c r="D244" i="1" s="1"/>
  <c r="C119" i="2"/>
  <c r="D40" i="1" s="1"/>
  <c r="C118" i="2"/>
  <c r="D184" i="1" s="1"/>
  <c r="C116" i="2"/>
  <c r="D165" i="1" s="1"/>
  <c r="C114" i="2"/>
  <c r="D58" i="1" s="1"/>
  <c r="C113" i="2"/>
  <c r="D10" i="1" s="1"/>
  <c r="C112" i="2"/>
  <c r="D359" i="1" s="1"/>
  <c r="C110" i="2"/>
  <c r="D175" i="1" s="1"/>
  <c r="C109" i="2"/>
  <c r="D277" i="1" s="1"/>
  <c r="C108" i="2"/>
  <c r="D238" i="1" s="1"/>
  <c r="C106" i="2"/>
  <c r="D298" i="1" s="1"/>
  <c r="C105" i="2"/>
  <c r="D114" i="1" s="1"/>
  <c r="C104" i="2"/>
  <c r="D203" i="1" s="1"/>
  <c r="C103" i="2"/>
  <c r="D245" i="1" s="1"/>
  <c r="C102" i="2"/>
  <c r="D41" i="1" s="1"/>
  <c r="C99" i="2"/>
  <c r="D271" i="1" s="1"/>
  <c r="C96" i="2"/>
  <c r="D410" i="1" s="1"/>
  <c r="C94" i="2"/>
  <c r="D376" i="1" s="1"/>
  <c r="C93" i="2"/>
  <c r="D207" i="1" s="1"/>
  <c r="C92" i="2"/>
  <c r="D366" i="1" s="1"/>
  <c r="C91" i="2"/>
  <c r="D222" i="1" s="1"/>
  <c r="C89" i="2"/>
  <c r="D94" i="1" s="1"/>
  <c r="C88" i="2"/>
  <c r="D317" i="1" s="1"/>
  <c r="C87" i="2"/>
  <c r="D82" i="1" s="1"/>
  <c r="C85" i="2"/>
  <c r="D123" i="1" s="1"/>
  <c r="C84" i="2"/>
  <c r="D380" i="1" s="1"/>
  <c r="C83" i="2"/>
  <c r="D378" i="1" s="1"/>
  <c r="C82" i="2"/>
  <c r="D101" i="1" s="1"/>
  <c r="C80" i="2"/>
  <c r="D225" i="1" s="1"/>
  <c r="C78" i="2"/>
  <c r="D295" i="1" s="1"/>
  <c r="C77" i="2"/>
  <c r="D251" i="1" s="1"/>
  <c r="C76" i="2"/>
  <c r="D304" i="1" s="1"/>
  <c r="C75" i="2"/>
  <c r="D275" i="1" s="1"/>
  <c r="C74" i="2"/>
  <c r="D341" i="1" s="1"/>
  <c r="C73" i="2"/>
  <c r="D39" i="1" s="1"/>
  <c r="C72" i="2"/>
  <c r="D345" i="1" s="1"/>
  <c r="C71" i="2"/>
  <c r="D273" i="1" s="1"/>
  <c r="C70" i="2"/>
  <c r="D204" i="1" s="1"/>
  <c r="C69" i="2"/>
  <c r="D33" i="1" s="1"/>
  <c r="C64" i="2"/>
  <c r="D233" i="1" s="1"/>
  <c r="C63" i="2"/>
  <c r="D167" i="1" s="1"/>
  <c r="C62" i="2"/>
  <c r="D117" i="1" s="1"/>
  <c r="C61" i="2"/>
  <c r="D440" i="1" s="1"/>
  <c r="C59" i="2"/>
  <c r="D163" i="1" s="1"/>
  <c r="C58" i="2"/>
  <c r="D416" i="1" s="1"/>
  <c r="C57" i="2"/>
  <c r="D394" i="1" s="1"/>
  <c r="C55" i="2"/>
  <c r="D141" i="1" s="1"/>
  <c r="C54" i="2"/>
  <c r="D414" i="1" s="1"/>
  <c r="C50" i="2"/>
  <c r="D218" i="1" s="1"/>
  <c r="C49" i="2"/>
  <c r="D388" i="1" s="1"/>
  <c r="C48" i="2"/>
  <c r="D349" i="1" s="1"/>
  <c r="C47" i="2"/>
  <c r="D381" i="1" s="1"/>
  <c r="C46" i="2"/>
  <c r="D155" i="1" s="1"/>
  <c r="C44" i="2"/>
  <c r="D49" i="1" s="1"/>
  <c r="C43" i="2"/>
  <c r="D246" i="1" s="1"/>
  <c r="C42" i="2"/>
  <c r="D306" i="1" s="1"/>
  <c r="C41" i="2"/>
  <c r="D95" i="1" s="1"/>
  <c r="C39" i="2"/>
  <c r="D395" i="1" s="1"/>
  <c r="C38" i="2"/>
  <c r="D170" i="1" s="1"/>
  <c r="C37" i="2"/>
  <c r="D334" i="1" s="1"/>
  <c r="C36" i="2"/>
  <c r="D391" i="1" s="1"/>
  <c r="C35" i="2"/>
  <c r="D63" i="1" s="1"/>
  <c r="C34" i="2"/>
  <c r="D135" i="1" s="1"/>
  <c r="C33" i="2"/>
  <c r="D258" i="1" s="1"/>
  <c r="C32" i="2"/>
  <c r="D400" i="1" s="1"/>
  <c r="C31" i="2"/>
  <c r="D29" i="1" s="1"/>
  <c r="C30" i="2"/>
  <c r="D217" i="1" s="1"/>
  <c r="C29" i="2"/>
  <c r="D279" i="1" s="1"/>
  <c r="C28" i="2"/>
  <c r="D404" i="1" s="1"/>
  <c r="C26" i="2"/>
  <c r="D129" i="1" s="1"/>
  <c r="C25" i="2"/>
  <c r="D144" i="1" s="1"/>
  <c r="C23" i="2"/>
  <c r="D420" i="1" s="1"/>
  <c r="C22" i="2"/>
  <c r="D322" i="1" s="1"/>
  <c r="C21" i="2"/>
  <c r="D302" i="1" s="1"/>
  <c r="C271" i="2"/>
  <c r="C193" i="2"/>
  <c r="D43" i="1" s="1"/>
  <c r="C149" i="2"/>
  <c r="D278" i="1" s="1"/>
  <c r="C117" i="2"/>
  <c r="D240" i="1" s="1"/>
  <c r="C115" i="2"/>
  <c r="D423" i="1" s="1"/>
  <c r="C111" i="2"/>
  <c r="D465" i="1" s="1"/>
  <c r="C107" i="2"/>
  <c r="D237" i="1" s="1"/>
  <c r="C65" i="2"/>
  <c r="D75" i="1" s="1"/>
  <c r="C60" i="2"/>
  <c r="D385" i="1" s="1"/>
  <c r="C56" i="2"/>
  <c r="D45" i="1" s="1"/>
  <c r="C53" i="2"/>
  <c r="D443" i="1" s="1"/>
  <c r="C52" i="2"/>
  <c r="D227" i="1" s="1"/>
  <c r="C51" i="2"/>
  <c r="D323" i="1" s="1"/>
  <c r="C27" i="2"/>
  <c r="D362" i="1" s="1"/>
  <c r="C24" i="2"/>
  <c r="D106" i="1" s="1"/>
  <c r="C14" i="2"/>
  <c r="D159" i="1" s="1"/>
  <c r="C10" i="2"/>
  <c r="D331" i="1" s="1"/>
  <c r="C9" i="2"/>
  <c r="D262" i="1" s="1"/>
  <c r="C8" i="2"/>
  <c r="D445" i="1" s="1"/>
  <c r="C6" i="2"/>
  <c r="D198" i="1" s="1"/>
  <c r="C5" i="2"/>
  <c r="D68" i="1" s="1"/>
  <c r="D319" i="1" l="1"/>
  <c r="D107" i="1"/>
  <c r="D367" i="1"/>
  <c r="D346" i="1"/>
  <c r="D96" i="1"/>
  <c r="D44" i="1"/>
  <c r="D97" i="1"/>
  <c r="D250" i="1"/>
  <c r="D347" i="1"/>
  <c r="D124" i="1"/>
  <c r="D417" i="1"/>
  <c r="D397" i="1"/>
  <c r="D30" i="1"/>
  <c r="D326" i="1"/>
  <c r="D316" i="1"/>
  <c r="D325" i="1"/>
  <c r="D384" i="1"/>
  <c r="D263" i="1"/>
  <c r="D375" i="1"/>
  <c r="D301" i="1"/>
  <c r="D160" i="1"/>
  <c r="D259" i="1"/>
  <c r="D265" i="1"/>
  <c r="D444" i="1"/>
  <c r="D232" i="1"/>
  <c r="D127" i="1"/>
  <c r="D402" i="1"/>
  <c r="D247" i="1"/>
  <c r="D260" i="1"/>
  <c r="D386" i="1"/>
  <c r="D38" i="1"/>
  <c r="D199" i="1"/>
  <c r="D133" i="1"/>
  <c r="D348" i="1"/>
  <c r="D50" i="1"/>
  <c r="D215" i="1"/>
  <c r="D226" i="1"/>
  <c r="D280" i="1"/>
  <c r="D205" i="1"/>
  <c r="D201" i="1"/>
  <c r="D299" i="1"/>
  <c r="D411" i="1"/>
  <c r="D406" i="1"/>
  <c r="D74" i="1"/>
  <c r="D69" i="1"/>
  <c r="D448" i="1"/>
  <c r="D248" i="1"/>
  <c r="D387" i="1"/>
  <c r="D200" i="1"/>
  <c r="D377" i="1"/>
  <c r="D83" i="1"/>
  <c r="D439" i="1"/>
  <c r="D327" i="1"/>
  <c r="D31" i="1"/>
  <c r="D281" i="1"/>
  <c r="D383" i="1"/>
  <c r="D202" i="1"/>
  <c r="D342" i="1"/>
  <c r="D172" i="1"/>
  <c r="D66" i="1"/>
  <c r="D228" i="1"/>
  <c r="D303" i="1"/>
  <c r="D70" i="1"/>
  <c r="D396" i="1"/>
  <c r="D307" i="1"/>
  <c r="D130" i="1"/>
  <c r="D64" i="1"/>
  <c r="D28" i="1"/>
  <c r="D206" i="1"/>
  <c r="D46" i="1"/>
  <c r="D328" i="1"/>
  <c r="D421" i="1"/>
  <c r="D282" i="1"/>
  <c r="D171" i="1"/>
  <c r="D116" i="1"/>
  <c r="D264" i="1"/>
  <c r="D229" i="1"/>
  <c r="D447" i="1"/>
  <c r="D449" i="1"/>
  <c r="D71" i="1"/>
  <c r="D65" i="1"/>
  <c r="D214" i="1"/>
  <c r="D161" i="1"/>
  <c r="D134" i="1"/>
  <c r="D142" i="1"/>
  <c r="D422" i="1"/>
  <c r="D153" i="1"/>
  <c r="D220" i="1"/>
  <c r="D392" i="1"/>
  <c r="D196" i="1"/>
  <c r="D320" i="1"/>
  <c r="D321" i="1"/>
  <c r="D335" i="1"/>
  <c r="D276" i="1"/>
  <c r="D419" i="1"/>
  <c r="D162" i="1"/>
  <c r="D418" i="1"/>
  <c r="D382" i="1"/>
  <c r="D329" i="1"/>
  <c r="D143" i="1"/>
  <c r="D393" i="1"/>
  <c r="D197" i="1"/>
  <c r="D166" i="1"/>
  <c r="D364" i="1"/>
  <c r="D128" i="1"/>
  <c r="D32" i="1"/>
  <c r="D93" i="1"/>
  <c r="D145" i="1"/>
  <c r="D100" i="1"/>
  <c r="D389" i="1"/>
  <c r="D146" i="1"/>
  <c r="D300" i="1"/>
  <c r="D67" i="1"/>
  <c r="D109" i="1"/>
  <c r="D157" i="1"/>
  <c r="D73" i="1"/>
  <c r="D51" i="1"/>
  <c r="D324" i="1"/>
  <c r="D147" i="1"/>
  <c r="D405" i="1"/>
  <c r="D154" i="1"/>
  <c r="D446" i="1"/>
  <c r="D296" i="1"/>
  <c r="D363" i="1"/>
  <c r="D72" i="1"/>
  <c r="D441" i="1"/>
  <c r="D221" i="1"/>
  <c r="D158" i="1"/>
  <c r="D219" i="1"/>
  <c r="D412" i="1"/>
  <c r="D108" i="1"/>
  <c r="D305" i="1"/>
  <c r="D390" i="1"/>
  <c r="D261" i="1"/>
  <c r="D413" i="1"/>
  <c r="D407" i="1"/>
  <c r="D401" i="1"/>
  <c r="D336" i="1"/>
  <c r="D272" i="1"/>
  <c r="D270" i="1"/>
  <c r="D330" i="1"/>
  <c r="D216" i="1"/>
  <c r="D257" i="1"/>
  <c r="D361" i="1"/>
  <c r="D442" i="1"/>
  <c r="D379" i="1"/>
</calcChain>
</file>

<file path=xl/sharedStrings.xml><?xml version="1.0" encoding="utf-8"?>
<sst xmlns="http://schemas.openxmlformats.org/spreadsheetml/2006/main" count="1043" uniqueCount="375">
  <si>
    <t>Customer Number</t>
  </si>
  <si>
    <t>Customer Name</t>
  </si>
  <si>
    <t>AFAQ Q Tech General Trading LLC</t>
  </si>
  <si>
    <t>C4 Granada</t>
  </si>
  <si>
    <t>Sheta &amp; Al Saif Trading Company</t>
  </si>
  <si>
    <t>C4 Khurais</t>
  </si>
  <si>
    <t>C4 Leemall</t>
  </si>
  <si>
    <t>Jarir Marketing Co.- CAV</t>
  </si>
  <si>
    <t>Abdulla Al Hazlol Est, For Trd</t>
  </si>
  <si>
    <t>Gulf Co for Direct Distribution</t>
  </si>
  <si>
    <t>The group El-Emar Gulf International</t>
  </si>
  <si>
    <t>Tech ly</t>
  </si>
  <si>
    <t>Al-Matajer  Ltd (Virgin  HO )</t>
  </si>
  <si>
    <t>Rising Stars Trading Co.</t>
  </si>
  <si>
    <t>Hamad Bin Abdullah Bin Sulaiman Almanea</t>
  </si>
  <si>
    <t>BLACK BOX - HO - CAV</t>
  </si>
  <si>
    <t>Abaad Al-Jeel Company for</t>
  </si>
  <si>
    <t>Saudi Telecommunication Channels</t>
  </si>
  <si>
    <t>Zill Najd Trading Co.</t>
  </si>
  <si>
    <t>Jarir Marketing Co. - Gaming &amp; Mobile</t>
  </si>
  <si>
    <t>Jarir Marketing Co.-ESD</t>
  </si>
  <si>
    <t>Saudi LULU Co. for Hypermarkets</t>
  </si>
  <si>
    <t>Lulu Saudi Hypermarkets LLC – ESD</t>
  </si>
  <si>
    <t>LuLu Central WH -Riyadh (CAV)</t>
  </si>
  <si>
    <t>Irfan Moosa General Trading LLC</t>
  </si>
  <si>
    <t>Needs Electronics Company</t>
  </si>
  <si>
    <t>Noon E Commerce Solutions</t>
  </si>
  <si>
    <t>Game Of The Age</t>
  </si>
  <si>
    <t>SADY AL MAJD TRADING</t>
  </si>
  <si>
    <t>Mobile Telecommunications Company</t>
  </si>
  <si>
    <t>Kabsat Al Taqnyah for Trading &amp;</t>
  </si>
  <si>
    <t>Samsung Electronics SaudiArabia Ltd</t>
  </si>
  <si>
    <t>QOMRA PRO. COMPANY</t>
  </si>
  <si>
    <t>Saudi Telecom Channels</t>
  </si>
  <si>
    <t>Naser Saif Al Sahimi Al Qahtani</t>
  </si>
  <si>
    <t>GeeKay Advanced Trading Company</t>
  </si>
  <si>
    <t>GeeKay Advanced Trading Company-ESD</t>
  </si>
  <si>
    <t>Nojoom International Trading Est</t>
  </si>
  <si>
    <t>Zed Game Trading Company</t>
  </si>
  <si>
    <t>AFAQ Q Tech General Trading LLC-PSX</t>
  </si>
  <si>
    <t>Al Rowad Electronics Company</t>
  </si>
  <si>
    <t>Al Rabee &amp; Al Saif Trading Company</t>
  </si>
  <si>
    <t>شركة هواوي تك. انفستمنت العربية</t>
  </si>
  <si>
    <t>Yousef Abdul Karim Mohammed</t>
  </si>
  <si>
    <t>Hussain Fahad Metaab AlMaziad</t>
  </si>
  <si>
    <t>Abdullah Saleh Al Sultan and</t>
  </si>
  <si>
    <t>Black Box Co.</t>
  </si>
  <si>
    <t>Al Jawhara Ibrahim Al Moqbel</t>
  </si>
  <si>
    <t>Abdulaziz Hassan Alshethry Co.</t>
  </si>
  <si>
    <t>Wahba Trading Co. Ltd</t>
  </si>
  <si>
    <t>Wahba Trading Co. Ltd_CAV</t>
  </si>
  <si>
    <t>Sroor Obaid Alhamazani</t>
  </si>
  <si>
    <t>Sada Saif Trading Company</t>
  </si>
  <si>
    <t>Alinthalaq Trading Establishment</t>
  </si>
  <si>
    <t>Nojoom International Trading Est.</t>
  </si>
  <si>
    <t>Jonon Allobah Trading Company</t>
  </si>
  <si>
    <t>Mohammed Mishaan Abdulaziz</t>
  </si>
  <si>
    <t>Rahi Corporation for Communications</t>
  </si>
  <si>
    <t>NAV Trading Company</t>
  </si>
  <si>
    <t>Al Nukhba Home Appliances Est</t>
  </si>
  <si>
    <t>Cold Corner Company for selling</t>
  </si>
  <si>
    <t>One Time Customer-HAP</t>
  </si>
  <si>
    <t>Oasis Commercial Air Conditioning</t>
  </si>
  <si>
    <t>Daerah Al Hadaf Trading Est</t>
  </si>
  <si>
    <t>Blu store Company</t>
  </si>
  <si>
    <t>ASHKAAL TRADING EST</t>
  </si>
  <si>
    <t>Adawliah Company for Electronic App</t>
  </si>
  <si>
    <t>MumzWorld Arabia Company for busine</t>
  </si>
  <si>
    <t>Abdelrahman Abdelaziz Elhaqbani For</t>
  </si>
  <si>
    <t>Riyadh International Food Company</t>
  </si>
  <si>
    <t>Silver Dome Trading Est</t>
  </si>
  <si>
    <t>Mehour Air Conditioning Co for Home</t>
  </si>
  <si>
    <t>Al Jawhara Ibrahim Al Muqbel Tradin</t>
  </si>
  <si>
    <t>Black Box Company</t>
  </si>
  <si>
    <t>Basil bin Fahd bin Miteb Al Mazyad</t>
  </si>
  <si>
    <t>Bandar Ali AlSudairi Trading Est</t>
  </si>
  <si>
    <t>Al Rabee and Al Saif Trading Compan</t>
  </si>
  <si>
    <t>مؤسسة بندر علي السديري التجارية</t>
  </si>
  <si>
    <t>AlNukhbah Home Appliances Est</t>
  </si>
  <si>
    <t>Sheta and Saif Trading Company</t>
  </si>
  <si>
    <t>Al Khunaizan Trading Company</t>
  </si>
  <si>
    <t>Modern House Trading Est</t>
  </si>
  <si>
    <t>Noon E Commerce Solutions Company o</t>
  </si>
  <si>
    <t>Hamad Abdullah Bin Suleman Almanea</t>
  </si>
  <si>
    <t>Oasis Air Conditioning Trading Comp</t>
  </si>
  <si>
    <t>Firstcry Trading Company one person</t>
  </si>
  <si>
    <t>Qasr Al Awani Company closed Saudi</t>
  </si>
  <si>
    <t>Diyar Al Moobtekron International C</t>
  </si>
  <si>
    <t>Todo commercial company</t>
  </si>
  <si>
    <t>Alghanim Trading Company</t>
  </si>
  <si>
    <t>Abdullah Al Othaim Markets Company</t>
  </si>
  <si>
    <t>Carrefour Saudi Hypermarkets Co</t>
  </si>
  <si>
    <t>Abdullah Saleh Alsultan and Sons Co</t>
  </si>
  <si>
    <t>Nadi Alqabdah Alrukmiyya Sports Company</t>
  </si>
  <si>
    <t>Tamkeen International Home Applianc</t>
  </si>
  <si>
    <t>Abayat Saudi Building Materials Co</t>
  </si>
  <si>
    <t>United Electronics Co. eXtra</t>
  </si>
  <si>
    <t>ABRAJ ALWATANIA TRADING EST</t>
  </si>
  <si>
    <t>Sama Warehouses for Logistics</t>
  </si>
  <si>
    <t>The third communication company for</t>
  </si>
  <si>
    <t>Najem Alagheza trading co</t>
  </si>
  <si>
    <t>Tajer BV for IT Co One Person Compa</t>
  </si>
  <si>
    <t>Mumzworld Arabia Co for Business se</t>
  </si>
  <si>
    <t>Sheta and Saif Trading Company Qass</t>
  </si>
  <si>
    <t>Zension Saudi Information</t>
  </si>
  <si>
    <t>Abdulrahman Mohammed AlMohaimid Tra</t>
  </si>
  <si>
    <t>Establishment ALBRIQ ALSATI For log</t>
  </si>
  <si>
    <t>Manarat Ebla Company Ltd</t>
  </si>
  <si>
    <t>Ashwered Air Conditioning Est</t>
  </si>
  <si>
    <t>Najem Alagheza trading company one</t>
  </si>
  <si>
    <t>Roh Al Tajrubah Company</t>
  </si>
  <si>
    <t>AL SARIYAH AL HADITHA For Trading C</t>
  </si>
  <si>
    <t>Al Sariyah Al Haditha for Trading</t>
  </si>
  <si>
    <t>Bandar Ali AlSudairi Trading Establ</t>
  </si>
  <si>
    <t>TRENDYOL AL ARABIA For Trading Comp</t>
  </si>
  <si>
    <t>Sheta Al Saif Trading Company RYD</t>
  </si>
  <si>
    <t>مؤسسة يوسف عبد الكريم محمد الحركان التج</t>
  </si>
  <si>
    <t>The Saudi Company for Tools and Har</t>
  </si>
  <si>
    <t>Electronics House Trading Est</t>
  </si>
  <si>
    <t>Folt for Home Appliances Est</t>
  </si>
  <si>
    <t>WINDMASON CO</t>
  </si>
  <si>
    <t>Al-Sairafi.Est.</t>
  </si>
  <si>
    <t>Sultan Bawahab_Binzagar St</t>
  </si>
  <si>
    <t>C4 Sulamaniya Mall</t>
  </si>
  <si>
    <t>Zaid First Trading Company</t>
  </si>
  <si>
    <t>Al-Nagham Al-Ranan Est</t>
  </si>
  <si>
    <t>Alireza Trading Company</t>
  </si>
  <si>
    <t>Ahmed Abdulwahid Abdullah Anam Co.</t>
  </si>
  <si>
    <t>C4 Flamingo Mall - Jeddah III</t>
  </si>
  <si>
    <t>Ehsas Al Salam Trading Co.</t>
  </si>
  <si>
    <t>EDDY United Co. Ltd.(Head Office)</t>
  </si>
  <si>
    <t>First Business Company</t>
  </si>
  <si>
    <t>LuLu  Jeddah -Gaming</t>
  </si>
  <si>
    <t>LuLu Central WH -Jeddah (CAV)</t>
  </si>
  <si>
    <t>Zelal al jasmin Trading</t>
  </si>
  <si>
    <t>شركة اسواق بن داود التجارية</t>
  </si>
  <si>
    <t>Danube  Company -HO</t>
  </si>
  <si>
    <t>Al-Mustaghebel Al-Assasiyah</t>
  </si>
  <si>
    <t>Modern Nagham Trading Est.</t>
  </si>
  <si>
    <t>Tafaroud Alroyah Co. for Investment</t>
  </si>
  <si>
    <t>Fakhamat Air Conditioning Est.</t>
  </si>
  <si>
    <t>Albait Alshaml for Trading Est.</t>
  </si>
  <si>
    <t>Tamkeen International Home</t>
  </si>
  <si>
    <t>Ahmed Abdulwahid Abdullah</t>
  </si>
  <si>
    <t>Asad Company Limited</t>
  </si>
  <si>
    <t>Muhammad Misfer Hussein Al Musleh</t>
  </si>
  <si>
    <t>Al'afdal Modern Trading Company</t>
  </si>
  <si>
    <t>Sabah Home Appliances Company</t>
  </si>
  <si>
    <t>United Vision Trading Company</t>
  </si>
  <si>
    <t>Infinity Tech Trading Company</t>
  </si>
  <si>
    <t>Summer Breeze Trading Company</t>
  </si>
  <si>
    <t>Ayaz Trading Company Limited</t>
  </si>
  <si>
    <t>Naabi Trading Company</t>
  </si>
  <si>
    <t>Saif Mansoor Al Harbi Est.</t>
  </si>
  <si>
    <t>Qimmat Maysan Home Appliances</t>
  </si>
  <si>
    <t>Al Maslahi Trading Company</t>
  </si>
  <si>
    <t>Kaya Alowla Trading Company</t>
  </si>
  <si>
    <t>Al Isthawrah Trading Est.</t>
  </si>
  <si>
    <t>Dharkam International Trading Co.</t>
  </si>
  <si>
    <t>Lamsa al Hawa Al Asri Trading Co</t>
  </si>
  <si>
    <t>Khudair Abdul Rahman Al Shehri</t>
  </si>
  <si>
    <t>Al Masa Mall Company for</t>
  </si>
  <si>
    <t>Lamsa Al Hawa Al Asri Trading Co</t>
  </si>
  <si>
    <t>Mohammed Fayez Ali Al Shehri</t>
  </si>
  <si>
    <t>Emtyaz Al Reyadah Trading Est.</t>
  </si>
  <si>
    <t>Toy Ship Foundation</t>
  </si>
  <si>
    <t>Modern Trading Center Company</t>
  </si>
  <si>
    <t>Modern trading Center Company</t>
  </si>
  <si>
    <t>Dyar Al Fares Trading Company</t>
  </si>
  <si>
    <t>PIXEL CO LTD</t>
  </si>
  <si>
    <t>Smart Air Conditioning Corner</t>
  </si>
  <si>
    <t>Muthalath Al Ruwad Home</t>
  </si>
  <si>
    <t>Ghassan Trading Company</t>
  </si>
  <si>
    <t>Muhammad Omar Saeed Bafeel</t>
  </si>
  <si>
    <t>Al Raed Co for Home Appliances</t>
  </si>
  <si>
    <t>Somaya Mohammed Al-Ghamdi</t>
  </si>
  <si>
    <t>Ali Muhammad Al Mayouf Al</t>
  </si>
  <si>
    <t>Al Wefaq Platinum Limited Company</t>
  </si>
  <si>
    <t>Jawharat Al Janoub Trading Company</t>
  </si>
  <si>
    <t>Developed Devices Commercial Compan</t>
  </si>
  <si>
    <t>Artal Arabia Limited Company one pe</t>
  </si>
  <si>
    <t>Ahmed Saeed Ahmed Barboud Home Appl</t>
  </si>
  <si>
    <t>Al Rowad Al Mumayaz Home</t>
  </si>
  <si>
    <t>Ahmed Ibrahim Yahya Shayba Establis</t>
  </si>
  <si>
    <t>ABDUL RAHMAN ABDUL HAAFEZ BIN SHAIH</t>
  </si>
  <si>
    <t>Al Ofoq Al Mumayaz Home</t>
  </si>
  <si>
    <t>Osmantec Trading Company</t>
  </si>
  <si>
    <t>Tafaroud AlRoyah Co for Investment</t>
  </si>
  <si>
    <t>Majed Golden Trading Company</t>
  </si>
  <si>
    <t>Bin Momen Trading Company</t>
  </si>
  <si>
    <t>Laser Trading Est</t>
  </si>
  <si>
    <t>Alaa Abdullah Abdul Wahid Al Ghamdi</t>
  </si>
  <si>
    <t>Abdullah Abdul Wahed AlGhamdi Tradi</t>
  </si>
  <si>
    <t>Bin Hamoud Saudi Trading Company</t>
  </si>
  <si>
    <t>Artal Arabia Limited Company</t>
  </si>
  <si>
    <t>Mohammed bin Musfir bin Hussein Al</t>
  </si>
  <si>
    <t>مؤسسة علي محمد ال معيوف الشهراني للتجار</t>
  </si>
  <si>
    <t>Muhammad Ibrahim Abdullah Falqi Tra</t>
  </si>
  <si>
    <t>Mohammed Hassan Omar Al Amoudi Trad</t>
  </si>
  <si>
    <t>Biladi Almutamayyizah Commercial Co</t>
  </si>
  <si>
    <t>Dharkam International Trading Co</t>
  </si>
  <si>
    <t>Al Ain Al Mamoura Trading Company</t>
  </si>
  <si>
    <t>Al Safwa Plus Electronic Devices Co</t>
  </si>
  <si>
    <t>Blue Smart Company for Electronic D</t>
  </si>
  <si>
    <t>Diyar Al Fares Trading Company</t>
  </si>
  <si>
    <t>Muthalath Al Rawad Home Appliances</t>
  </si>
  <si>
    <t>Ali Muhammad Al Mayouf Al Shahrani</t>
  </si>
  <si>
    <t>Khudair Abdul Rahman Muhammad</t>
  </si>
  <si>
    <t>Al Ofoq Al Mumayaz Home Appliances</t>
  </si>
  <si>
    <t>Muhammad Fayez Ali Al Shehri Tradin</t>
  </si>
  <si>
    <t>Muhammad Omar Saeed Bafeel Trading</t>
  </si>
  <si>
    <t>Air Technologies Solutions Company</t>
  </si>
  <si>
    <t>Zagzoog For Home Appliances Co LTD</t>
  </si>
  <si>
    <t>Establishment MAKAN ALTUMAIEZ Comme</t>
  </si>
  <si>
    <t>Al Wakeel General Trading Company</t>
  </si>
  <si>
    <t>Al Asar Al Naqi Air Conditioning an</t>
  </si>
  <si>
    <t>Al Masa Mall Company for Household</t>
  </si>
  <si>
    <t>Raed Discounts Trading Company one</t>
  </si>
  <si>
    <t>Nestle Saudi Arabia LLC</t>
  </si>
  <si>
    <t>Bu-Khamsin Est.For Elec.Equp.</t>
  </si>
  <si>
    <t>Muhammad Jawad Saleh Muhammad</t>
  </si>
  <si>
    <t>Al-Ilaiw Trading Co</t>
  </si>
  <si>
    <t>Al-Haddad Trading Store</t>
  </si>
  <si>
    <t>Abdullah Ali Al-Dhamin &amp; Sons Co.</t>
  </si>
  <si>
    <t>Extra HO</t>
  </si>
  <si>
    <t>Saudi Aramco</t>
  </si>
  <si>
    <t>NASER MOHAMMED AL-BUQMI EST.</t>
  </si>
  <si>
    <t>Extra -Gaming (HO)</t>
  </si>
  <si>
    <t>Moasasa Qannas Al Majrah</t>
  </si>
  <si>
    <t>C4 WEST AVENUE MALL - DAMMAM</t>
  </si>
  <si>
    <t>LAITH AL ARAB TRAD EST</t>
  </si>
  <si>
    <t>Extra-ESD</t>
  </si>
  <si>
    <t>LuLu  Khobar -Gaming</t>
  </si>
  <si>
    <t>LuLu Central WH -Khobar (CAV)</t>
  </si>
  <si>
    <t>Future Smart Cards Trading Corporation</t>
  </si>
  <si>
    <t>Air Care Company for Air</t>
  </si>
  <si>
    <t>Mohammed Bin Eid Al-Khater</t>
  </si>
  <si>
    <t>Ayman Ahmed Ali Al-Jarafi</t>
  </si>
  <si>
    <t>Mirza Redha Al-Jashi General</t>
  </si>
  <si>
    <t>Ajwa Al Yamamah Home</t>
  </si>
  <si>
    <t>Youssef Abdel Wahab Al Mousa</t>
  </si>
  <si>
    <t>Khotwa Istebaqia Est. for Trading</t>
  </si>
  <si>
    <t>Saleh &amp; Abdul Wahab Al Mousa</t>
  </si>
  <si>
    <t>Al Othman Trading Limited Liability</t>
  </si>
  <si>
    <t>Mohammed Bin Ali Bin Al Hamri</t>
  </si>
  <si>
    <t>AlAmakin Group of Companies Ltd.</t>
  </si>
  <si>
    <t>Cold World Trading Est</t>
  </si>
  <si>
    <t>Ajwaa Al Yamamah Home</t>
  </si>
  <si>
    <t>Saleh and Abdul Wahab Al-Mousa</t>
  </si>
  <si>
    <t>AL MOTAWA TRADING COMPANY</t>
  </si>
  <si>
    <t>SALEH ABDUL WAHAB Al MOUSA COMPANY</t>
  </si>
  <si>
    <t>Nasser Al Moubayed Sons Trading Com</t>
  </si>
  <si>
    <t>Khotwa Istebaqia Est for Trading</t>
  </si>
  <si>
    <t>Muhammad Jawad Saleh Muhammad Bukha</t>
  </si>
  <si>
    <t>ABYAT SAUDI BUIDLNG MATERRIALS COMP</t>
  </si>
  <si>
    <t>Mohammed Bin Eid Al Khater and Brot</t>
  </si>
  <si>
    <t>Al Motamakin Trading Est</t>
  </si>
  <si>
    <t>Al Othman Trading Company</t>
  </si>
  <si>
    <t>Mirza Redha Al Jishi General Contra</t>
  </si>
  <si>
    <t>United Electronics Company-eXtra</t>
  </si>
  <si>
    <t>شركة وهج الاصيل للمقاولات شركة شخص واحد</t>
  </si>
  <si>
    <t>Ajwa Al Yamamah Home Appliances Est</t>
  </si>
  <si>
    <t>Fahad Al Shamal Establishment for H</t>
  </si>
  <si>
    <t>Al Roya Al Barda for Refrigeration</t>
  </si>
  <si>
    <t>WR Jeddah Main SVC</t>
  </si>
  <si>
    <t>WR Khamis Mushayat SVC</t>
  </si>
  <si>
    <t>WR Makkah SVC</t>
  </si>
  <si>
    <t>WR Madina SVC</t>
  </si>
  <si>
    <t>ER Al Khobar Main SVC</t>
  </si>
  <si>
    <t>CR Riyadh Main SVC</t>
  </si>
  <si>
    <t>CR Gassim  SVC</t>
  </si>
  <si>
    <t>FAKHROO INTERNATIONAL</t>
  </si>
  <si>
    <t>United Electronics Company-Extra</t>
  </si>
  <si>
    <t>Al Mogamsi Trading Est.</t>
  </si>
  <si>
    <t>Holoul Electronic Waste Treatment</t>
  </si>
  <si>
    <t>Al Burkan Maintenance Company</t>
  </si>
  <si>
    <t>MAQASHA Trading Est.</t>
  </si>
  <si>
    <t>KUTAYBA YUSUF ALGHANIM AND PARTNERS</t>
  </si>
  <si>
    <t>Tamer Arabia Trading Company</t>
  </si>
  <si>
    <t>MECL-CR-RYD HA SVC</t>
  </si>
  <si>
    <t>C4 Madinah</t>
  </si>
  <si>
    <t>Sony Middle East And Africa</t>
  </si>
  <si>
    <t>Sony Interactive Entertainment Europe</t>
  </si>
  <si>
    <t>DEVCO FZ LLC</t>
  </si>
  <si>
    <t>Epay Digital Middle East FZ-LLC</t>
  </si>
  <si>
    <t>Nexstgo Company Limited</t>
  </si>
  <si>
    <t>Panasonic Marketing Middle East</t>
  </si>
  <si>
    <t>Hisense Electronics LLC</t>
  </si>
  <si>
    <t>The Copyright Promotions Licensing</t>
  </si>
  <si>
    <t>M M R General Trading L.L.C</t>
  </si>
  <si>
    <t>Admiral Appliances &amp; Electro</t>
  </si>
  <si>
    <t>Arcelik Hitachi Home Appliances</t>
  </si>
  <si>
    <t>Al Qadi Pharmacy &amp; Establishment LLC</t>
  </si>
  <si>
    <t>MEA Brands DMCC</t>
  </si>
  <si>
    <t>Animation International FZ LLC DMCC</t>
  </si>
  <si>
    <t>WORLD INVENTIONS TRADING FZE</t>
  </si>
  <si>
    <t>Alfa Co.</t>
  </si>
  <si>
    <t>Modern Media System</t>
  </si>
  <si>
    <t>Al Faisalia Group Holding Co.</t>
  </si>
  <si>
    <t>First Distribution Company</t>
  </si>
  <si>
    <t>La3eb Limited Company</t>
  </si>
  <si>
    <t>Electronics &amp; Systems Holding Company</t>
  </si>
  <si>
    <t>DAMAM</t>
  </si>
  <si>
    <t>Dammam Showroom</t>
  </si>
  <si>
    <t>DAMAM2</t>
  </si>
  <si>
    <t>Dammam 2 Showroom</t>
  </si>
  <si>
    <t>DS01</t>
  </si>
  <si>
    <t>La3eb</t>
  </si>
  <si>
    <t>GRNAD</t>
  </si>
  <si>
    <t>Granada Mall Showroom</t>
  </si>
  <si>
    <t>HASSA</t>
  </si>
  <si>
    <t>Hassa Showroom</t>
  </si>
  <si>
    <t>JS02</t>
  </si>
  <si>
    <t>MECL-JED Tabuk Showroom</t>
  </si>
  <si>
    <t>JS07</t>
  </si>
  <si>
    <t>MECL-JED-Khamis Mushayat Showroom</t>
  </si>
  <si>
    <t>KFAHD</t>
  </si>
  <si>
    <t>King Fahd Showroom</t>
  </si>
  <si>
    <t>KS01</t>
  </si>
  <si>
    <t>MECL-KHB-King Fahd Showroom</t>
  </si>
  <si>
    <t>KS03</t>
  </si>
  <si>
    <t>MECL-KHB-Dammam Showroom</t>
  </si>
  <si>
    <t>KS16</t>
  </si>
  <si>
    <t>MECL-DAM-Aziziyah HA01</t>
  </si>
  <si>
    <t>LATER</t>
  </si>
  <si>
    <t>La Terra Showroom</t>
  </si>
  <si>
    <t>MESTORES</t>
  </si>
  <si>
    <t>Mestores.com</t>
  </si>
  <si>
    <t>OC01</t>
  </si>
  <si>
    <t>SONYWORLD.SA</t>
  </si>
  <si>
    <t>RAJHI</t>
  </si>
  <si>
    <t>Batha Showroom</t>
  </si>
  <si>
    <t>RL01</t>
  </si>
  <si>
    <t>Level-UP </t>
  </si>
  <si>
    <t>RS06</t>
  </si>
  <si>
    <t>MECL-RYD-Dar Al Wakalat Showroom</t>
  </si>
  <si>
    <t>RS11</t>
  </si>
  <si>
    <t>MECL-RYD-Granada Center Showroom</t>
  </si>
  <si>
    <t>RS17</t>
  </si>
  <si>
    <t>Sony Showroom Warood</t>
  </si>
  <si>
    <t>RS96</t>
  </si>
  <si>
    <t>MECL Ecommerce</t>
  </si>
  <si>
    <t>RS97</t>
  </si>
  <si>
    <t>Mestores Online Store</t>
  </si>
  <si>
    <t>TABUK</t>
  </si>
  <si>
    <t>Tabuk Showroom</t>
  </si>
  <si>
    <t>WAKAT</t>
  </si>
  <si>
    <t>Dar Al Wakalat Showroom</t>
  </si>
  <si>
    <t>WAROOD</t>
  </si>
  <si>
    <t>MECL-RYD-Warood Showroom</t>
  </si>
  <si>
    <t>Technical Refrigeration W</t>
  </si>
  <si>
    <t>Smart Sources Company</t>
  </si>
  <si>
    <t>JS15</t>
  </si>
  <si>
    <t>MECL-JED-La Terra Mall Sh</t>
  </si>
  <si>
    <t>KS04</t>
  </si>
  <si>
    <t>MECL-KHB-Al Hassa Showroo</t>
  </si>
  <si>
    <t>KS14</t>
  </si>
  <si>
    <t>MECL-KHB-Dammam 2 FAISALI</t>
  </si>
  <si>
    <t>KS15</t>
  </si>
  <si>
    <t>MECL-KHB-RAKA Showroom</t>
  </si>
  <si>
    <t>RS04</t>
  </si>
  <si>
    <t>MECL-RYD-Batha Showroom</t>
  </si>
  <si>
    <t>YouGotaGift</t>
  </si>
  <si>
    <t>ONE TIME CUSTOMER-PANA</t>
  </si>
  <si>
    <t>H.O. Code</t>
  </si>
  <si>
    <t>Grand Total</t>
  </si>
  <si>
    <t>Count of Customer Number</t>
  </si>
  <si>
    <t>Total</t>
  </si>
  <si>
    <t>C4</t>
  </si>
  <si>
    <t xml:space="preserve">Ajwa Al Yamamah </t>
  </si>
  <si>
    <t>Dharkam</t>
  </si>
  <si>
    <t>Count of Customer Name</t>
  </si>
  <si>
    <t>H.O Name</t>
  </si>
  <si>
    <t>+</t>
  </si>
  <si>
    <t>3000493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</si>
</sst>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49" fontId="0" fillId="0" borderId="0" xfId="0" applyNumberFormat="1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49" fontId="0" fillId="3" borderId="0" xfId="0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3"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qadri\Documents\MECL%20AR-31.05.2025%20Consolidated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R vs Collections 31.05.2025"/>
    </sheetNames>
    <sheetDataSet>
      <sheetData sheetId="0"/>
      <sheetData sheetId="1">
        <row r="566">
          <cell r="B566">
            <v>2000633</v>
          </cell>
          <cell r="C566" t="str">
            <v>Bin Hamoud Saudi Trading Company</v>
          </cell>
        </row>
        <row r="567">
          <cell r="B567">
            <v>3000105</v>
          </cell>
          <cell r="C567" t="str">
            <v>EXTRA</v>
          </cell>
        </row>
        <row r="568">
          <cell r="B568">
            <v>1000185</v>
          </cell>
          <cell r="C568" t="str">
            <v>JARIR BOOK STORES</v>
          </cell>
        </row>
        <row r="569">
          <cell r="B569">
            <v>2000455</v>
          </cell>
          <cell r="C569" t="str">
            <v>Ghadeer Abdullah Al-Salem Trading</v>
          </cell>
        </row>
        <row r="570">
          <cell r="B570">
            <v>1000532</v>
          </cell>
          <cell r="C570" t="str">
            <v>Abaad Al-Jeel Company for</v>
          </cell>
        </row>
        <row r="571">
          <cell r="B571">
            <v>1000559</v>
          </cell>
          <cell r="C571" t="str">
            <v>SAUDI TELECOM COMPANY</v>
          </cell>
        </row>
        <row r="572">
          <cell r="B572">
            <v>1000471</v>
          </cell>
          <cell r="C572" t="str">
            <v>AlManea Co, Ltd</v>
          </cell>
        </row>
        <row r="573">
          <cell r="B573">
            <v>1000434</v>
          </cell>
          <cell r="C573" t="str">
            <v>Tech ly</v>
          </cell>
        </row>
        <row r="574">
          <cell r="B574">
            <v>1000639</v>
          </cell>
          <cell r="C574" t="str">
            <v>Noon Solution E-Commerce co</v>
          </cell>
        </row>
        <row r="575">
          <cell r="B575">
            <v>2000498</v>
          </cell>
          <cell r="C575" t="str">
            <v>Tamkeen International for Home</v>
          </cell>
        </row>
        <row r="576">
          <cell r="B576">
            <v>1000057</v>
          </cell>
          <cell r="C576" t="str">
            <v>AFAQ Q Tech General Trading LLC-Amazon</v>
          </cell>
        </row>
        <row r="577">
          <cell r="B577">
            <v>1000255</v>
          </cell>
          <cell r="C577" t="str">
            <v>Gulf Co for Direct Distribution</v>
          </cell>
        </row>
        <row r="578">
          <cell r="B578">
            <v>1000089</v>
          </cell>
          <cell r="C578" t="str">
            <v>SHETA AL SAIF</v>
          </cell>
        </row>
        <row r="579">
          <cell r="B579">
            <v>2000755</v>
          </cell>
          <cell r="C579" t="str">
            <v>Al Wakeel General Trading Company</v>
          </cell>
        </row>
        <row r="580">
          <cell r="B580">
            <v>3000433</v>
          </cell>
          <cell r="C580" t="str">
            <v>Mohamed Saleh Aldossary Co. Ltd</v>
          </cell>
        </row>
        <row r="581">
          <cell r="B581">
            <v>1000927</v>
          </cell>
          <cell r="C581" t="str">
            <v>Diyar Al Moobtekron International C</v>
          </cell>
        </row>
        <row r="582">
          <cell r="B582">
            <v>2000215</v>
          </cell>
          <cell r="C582" t="str">
            <v>AHMED ABDUL WAHED - HO</v>
          </cell>
        </row>
        <row r="583">
          <cell r="B583">
            <v>2000629</v>
          </cell>
          <cell r="C583" t="str">
            <v>Bin Momen Trading Company</v>
          </cell>
        </row>
        <row r="584">
          <cell r="B584">
            <v>1000013</v>
          </cell>
          <cell r="C584" t="str">
            <v>LULU</v>
          </cell>
        </row>
        <row r="585">
          <cell r="B585">
            <v>1000912</v>
          </cell>
          <cell r="C585" t="str">
            <v>Al Khunaizan Trading Company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Abid Qadri" refreshedDate="45846.451162962963" createdVersion="6" refreshedVersion="6" minRefreshableVersion="3" recordCount="464" xr:uid="{07E6875E-F0D5-4398-940D-E320A0E2AC00}">
  <cacheSource type="worksheet">
    <worksheetSource ref="A1:C465" sheet="Sheet1"/>
  </cacheSource>
  <cacheFields count="3">
    <cacheField name="Customer Number" numFmtId="49">
      <sharedItems containsMixedTypes="1" containsNumber="1" containsInteger="1" minValue="1000057" maxValue="1400006100" count="464">
        <n v="1000057"/>
        <n v="1000079"/>
        <n v="1000089"/>
        <n v="1000111"/>
        <n v="1000117"/>
        <n v="1000185"/>
        <n v="1000205"/>
        <n v="1000255"/>
        <n v="1000283"/>
        <n v="1000434"/>
        <n v="1000441"/>
        <n v="1000443"/>
        <n v="1000464"/>
        <n v="1000471"/>
        <n v="1000480"/>
        <n v="1000532"/>
        <n v="1000559"/>
        <n v="1000565"/>
        <n v="1000588"/>
        <n v="1000589"/>
        <n v="1000590"/>
        <n v="1000596"/>
        <n v="1000598"/>
        <n v="1000618"/>
        <n v="1000632"/>
        <n v="1000633"/>
        <n v="1000639"/>
        <n v="1000662"/>
        <n v="1000677"/>
        <n v="1000682"/>
        <n v="1000696"/>
        <n v="1000699"/>
        <n v="1000707"/>
        <n v="1000712"/>
        <n v="1000720"/>
        <n v="1000726"/>
        <n v="1000762"/>
        <n v="1000769"/>
        <n v="1000770"/>
        <n v="1000787"/>
        <n v="1000790"/>
        <n v="1000792"/>
        <n v="1000793"/>
        <n v="1000794"/>
        <n v="1000795"/>
        <n v="1000796"/>
        <n v="1000797"/>
        <n v="1000798"/>
        <n v="1000801"/>
        <n v="1000803"/>
        <n v="1000806"/>
        <n v="1000807"/>
        <n v="1000808"/>
        <n v="1000809"/>
        <n v="1000814"/>
        <n v="1000815"/>
        <n v="1000819"/>
        <n v="1000820"/>
        <n v="1000830"/>
        <n v="1000832"/>
        <n v="1000835"/>
        <n v="1000836"/>
        <n v="1000839"/>
        <n v="1000840"/>
        <n v="1000841"/>
        <n v="1000848"/>
        <n v="1000851"/>
        <n v="1000852"/>
        <n v="1000857"/>
        <n v="1000859"/>
        <n v="1000861"/>
        <n v="1000863"/>
        <n v="1000864"/>
        <n v="1000865"/>
        <n v="1000869"/>
        <n v="1000870"/>
        <n v="1000871"/>
        <n v="1000872"/>
        <n v="1000876"/>
        <n v="1000877"/>
        <n v="1000879"/>
        <n v="1000881"/>
        <n v="1000882"/>
        <n v="1000883"/>
        <n v="1000884"/>
        <n v="1000885"/>
        <n v="1000888"/>
        <n v="1000889"/>
        <n v="1000894"/>
        <n v="1000898"/>
        <n v="1000902"/>
        <n v="1000903"/>
        <n v="1000904"/>
        <n v="1000905"/>
        <n v="1000907"/>
        <n v="1000909"/>
        <n v="1000910"/>
        <n v="1000911"/>
        <n v="1000912"/>
        <n v="1000915"/>
        <n v="1000916"/>
        <n v="1000917"/>
        <n v="1000918"/>
        <n v="1000919"/>
        <n v="1000920"/>
        <n v="1000922"/>
        <n v="1000924"/>
        <n v="1000925"/>
        <n v="1000926"/>
        <n v="1000927"/>
        <n v="1000928"/>
        <n v="1000929"/>
        <n v="1000930"/>
        <n v="1000931"/>
        <n v="1000932"/>
        <n v="1000935"/>
        <n v="1000937"/>
        <n v="1000938"/>
        <n v="1000941"/>
        <n v="1000942"/>
        <n v="1000944"/>
        <n v="1000945"/>
        <n v="1000946"/>
        <n v="1000947"/>
        <n v="1000948"/>
        <n v="1000949"/>
        <n v="1000950"/>
        <n v="1000970"/>
        <n v="1000971"/>
        <n v="1000972"/>
        <n v="1000975"/>
        <n v="1000978"/>
        <n v="1000979"/>
        <n v="1000981"/>
        <n v="1000982"/>
        <n v="1000985"/>
        <n v="1000988"/>
        <n v="1000991"/>
        <n v="1000996"/>
        <n v="1000999"/>
        <n v="1001000"/>
        <n v="1001001"/>
        <n v="1001002"/>
        <n v="1001005"/>
        <n v="1001006"/>
        <n v="1001007"/>
        <n v="1001008"/>
        <n v="1001011"/>
        <n v="1001013"/>
        <n v="1001014"/>
        <n v="1001016"/>
        <n v="1001017"/>
        <n v="1001018"/>
        <n v="1001021"/>
        <n v="1001024"/>
        <n v="1001025"/>
        <n v="1001028"/>
        <n v="1001029"/>
        <n v="1001030"/>
        <n v="1001031"/>
        <n v="2000002"/>
        <n v="2000006"/>
        <n v="2000084"/>
        <n v="2000113"/>
        <n v="2000151"/>
        <n v="2000172"/>
        <n v="2000215"/>
        <n v="2000216"/>
        <n v="2000239"/>
        <n v="2000263"/>
        <n v="2000293"/>
        <n v="2000396"/>
        <n v="2000411"/>
        <n v="2000422"/>
        <n v="2000436"/>
        <n v="2000438"/>
        <n v="2000439"/>
        <n v="2000443"/>
        <n v="2000455"/>
        <n v="2000505"/>
        <n v="2000514"/>
        <n v="2000518"/>
        <n v="2000519"/>
        <n v="2000520"/>
        <n v="2000523"/>
        <n v="2000524"/>
        <n v="2000525"/>
        <n v="2000527"/>
        <n v="2000530"/>
        <n v="2000531"/>
        <n v="2000532"/>
        <n v="2000534"/>
        <n v="2000535"/>
        <n v="2000536"/>
        <n v="2000537"/>
        <n v="2000538"/>
        <n v="2000543"/>
        <n v="2000544"/>
        <n v="2000545"/>
        <n v="2000546"/>
        <n v="2000547"/>
        <n v="2000548"/>
        <n v="2000549"/>
        <n v="2000550"/>
        <n v="2000551"/>
        <n v="2000556"/>
        <n v="2000557"/>
        <n v="2000558"/>
        <n v="2000561"/>
        <n v="2000563"/>
        <n v="2000564"/>
        <n v="2000565"/>
        <n v="2000566"/>
        <n v="2000567"/>
        <n v="2000568"/>
        <n v="2000569"/>
        <n v="2000571"/>
        <n v="2000572"/>
        <n v="2000574"/>
        <n v="2000575"/>
        <n v="2000576"/>
        <n v="2000578"/>
        <n v="2000581"/>
        <n v="2000587"/>
        <n v="2000591"/>
        <n v="2000592"/>
        <n v="2000593"/>
        <n v="2000594"/>
        <n v="2000595"/>
        <n v="2000596"/>
        <n v="2000597"/>
        <n v="2000599"/>
        <n v="2000600"/>
        <n v="2000601"/>
        <n v="2000602"/>
        <n v="2000603"/>
        <n v="2000604"/>
        <n v="2000606"/>
        <n v="2000608"/>
        <n v="2000609"/>
        <n v="2000610"/>
        <n v="2000611"/>
        <n v="2000612"/>
        <n v="2000613"/>
        <n v="2000614"/>
        <n v="2000617"/>
        <n v="2000618"/>
        <n v="2000619"/>
        <n v="2000620"/>
        <n v="2000623"/>
        <n v="2000624"/>
        <n v="2000625"/>
        <n v="2000626"/>
        <n v="2000627"/>
        <n v="2000629"/>
        <n v="2000630"/>
        <n v="2000631"/>
        <n v="2000632"/>
        <n v="2000633"/>
        <n v="2000634"/>
        <n v="2000636"/>
        <n v="2000637"/>
        <n v="2000640"/>
        <n v="2000641"/>
        <n v="2000642"/>
        <n v="2000643"/>
        <n v="2000646"/>
        <n v="2000647"/>
        <n v="2000648"/>
        <n v="2000650"/>
        <n v="2000651"/>
        <n v="2000652"/>
        <n v="2000681"/>
        <n v="2000682"/>
        <n v="2000684"/>
        <n v="2000686"/>
        <n v="2000688"/>
        <n v="2000690"/>
        <n v="2000691"/>
        <n v="2000692"/>
        <n v="2000693"/>
        <n v="2000695"/>
        <n v="2000696"/>
        <n v="2000697"/>
        <n v="2000698"/>
        <n v="2000699"/>
        <n v="2000700"/>
        <n v="2000705"/>
        <n v="2000707"/>
        <n v="2000709"/>
        <n v="2000710"/>
        <n v="2000712"/>
        <n v="2000713"/>
        <n v="2000714"/>
        <n v="2000717"/>
        <n v="2000719"/>
        <n v="2000721"/>
        <n v="2000724"/>
        <n v="2000725"/>
        <n v="2000726"/>
        <n v="2000730"/>
        <n v="2000731"/>
        <n v="2000735"/>
        <n v="2000736"/>
        <n v="2000737"/>
        <n v="2000738"/>
        <n v="2000739"/>
        <n v="2000742"/>
        <n v="2000751"/>
        <n v="2000753"/>
        <n v="2000755"/>
        <n v="2000758"/>
        <n v="2000759"/>
        <n v="2000760"/>
        <n v="2000762"/>
        <n v="2000766"/>
        <n v="2000768"/>
        <n v="3000007"/>
        <n v="3000079"/>
        <n v="3000080"/>
        <n v="3000083"/>
        <n v="3000086"/>
        <n v="3000105"/>
        <n v="3000128"/>
        <n v="3000141"/>
        <n v="3000284"/>
        <n v="3000307"/>
        <n v="3000335"/>
        <n v="3000336"/>
        <n v="3000376"/>
        <n v="3000377"/>
        <n v="3000389"/>
        <n v="3000406"/>
        <n v="3000421"/>
        <n v="3000427"/>
        <n v="3000429"/>
        <n v="3000431"/>
        <n v="3000432"/>
        <n v="3000433"/>
        <n v="3000434"/>
        <n v="3000437"/>
        <n v="3000438"/>
        <n v="3000439"/>
        <n v="3000441"/>
        <n v="3000443"/>
        <n v="3000444"/>
        <n v="3000445"/>
        <n v="3000446"/>
        <n v="3000448"/>
        <n v="3000450"/>
        <n v="3000451"/>
        <n v="3000452"/>
        <n v="3000453"/>
        <n v="3000457"/>
        <n v="3000458"/>
        <n v="3000459"/>
        <n v="3000460"/>
        <n v="3000461"/>
        <n v="3000462"/>
        <n v="3000463"/>
        <n v="3000464"/>
        <n v="3000467"/>
        <n v="3000468"/>
        <n v="3000469"/>
        <n v="3000470"/>
        <n v="3000471"/>
        <n v="3000472"/>
        <n v="3000473"/>
        <n v="3000474"/>
        <n v="3000475"/>
        <n v="3000477"/>
        <n v="3000478"/>
        <n v="3000479"/>
        <n v="3000493"/>
        <n v="3000494"/>
        <n v="3000495"/>
        <n v="3000496"/>
        <n v="3000497"/>
        <n v="3000498"/>
        <n v="3000499"/>
        <n v="3000501"/>
        <n v="3000502"/>
        <n v="3000503"/>
        <n v="3000504"/>
        <n v="3000505"/>
        <n v="3000507"/>
        <n v="3000509"/>
        <n v="3000511"/>
        <n v="3000513"/>
        <n v="3000515"/>
        <n v="3000524"/>
        <n v="3000525"/>
        <n v="5000000"/>
        <n v="5000001"/>
        <n v="5000002"/>
        <n v="5000003"/>
        <n v="5000006"/>
        <n v="5000011"/>
        <n v="5000013"/>
        <n v="5000033"/>
        <n v="5000035"/>
        <n v="5000036"/>
        <n v="5000037"/>
        <n v="5000039"/>
        <n v="5000040"/>
        <n v="5000043"/>
        <n v="5000044"/>
        <n v="5000045"/>
        <n v="6000007"/>
        <n v="7000001"/>
        <n v="7000004"/>
        <n v="7000008"/>
        <n v="7000009"/>
        <n v="7000016"/>
        <n v="7000021"/>
        <n v="7000022"/>
        <n v="7000028"/>
        <n v="7000031"/>
        <n v="7000032"/>
        <n v="7000035"/>
        <n v="7000036"/>
        <n v="7000037"/>
        <n v="7000038"/>
        <n v="7000039"/>
        <n v="1400001700"/>
        <n v="1400002400"/>
        <n v="1400004200"/>
        <n v="1400005700"/>
        <n v="1400005800"/>
        <n v="1400006100"/>
        <s v="DAMAM"/>
        <s v="DAMAM2"/>
        <s v="DS01"/>
        <s v="GRNAD"/>
        <s v="HASSA"/>
        <s v="JS02"/>
        <s v="JS07"/>
        <s v="KFAHD"/>
        <s v="KS01"/>
        <s v="KS03"/>
        <s v="KS16"/>
        <s v="LATER"/>
        <s v="MESTORES"/>
        <s v="OC01"/>
        <s v="RAJHI"/>
        <s v="RL01"/>
        <s v="RS06"/>
        <s v="RS11"/>
        <s v="RS17"/>
        <s v="RS96"/>
        <s v="RS97"/>
        <s v="TABUK"/>
        <s v="WAKAT"/>
        <s v="WAROOD"/>
        <n v="1000951"/>
        <n v="1001027"/>
        <s v="JS15"/>
        <s v="KS04"/>
        <s v="KS14"/>
        <s v="KS15"/>
        <s v="RS04"/>
        <n v="1000764"/>
        <n v="5000034"/>
        <n v="1000786"/>
      </sharedItems>
    </cacheField>
    <cacheField name="Customer Name" numFmtId="49">
      <sharedItems count="330">
        <s v="AFAQ Q Tech General Trading LLC"/>
        <s v="C4 Granada"/>
        <s v="Sheta &amp; Al Saif Trading Company"/>
        <s v="C4 Khurais"/>
        <s v="C4 Leemall"/>
        <s v="Jarir Marketing Co.- CAV"/>
        <s v="Abdulla Al Hazlol Est, For Trd"/>
        <s v="Gulf Co for Direct Distribution"/>
        <s v="The group El-Emar Gulf International"/>
        <s v="Tech ly"/>
        <s v="Al-Matajer  Ltd (Virgin  HO )"/>
        <s v="Rising Stars Trading Co."/>
        <s v="Hamad Bin Abdullah Bin Sulaiman Almanea"/>
        <s v="BLACK BOX - HO - CAV"/>
        <s v="Abaad Al-Jeel Company for"/>
        <s v="Saudi Telecommunication Channels"/>
        <s v="Zill Najd Trading Co."/>
        <s v="Jarir Marketing Co. - Gaming &amp; Mobile"/>
        <s v="Jarir Marketing Co.-ESD"/>
        <s v="Saudi LULU Co. for Hypermarkets"/>
        <s v="Lulu Saudi Hypermarkets LLC – ESD"/>
        <s v="LuLu Central WH -Riyadh (CAV)"/>
        <s v="Irfan Moosa General Trading LLC"/>
        <s v="Needs Electronics Company"/>
        <s v="Noon E Commerce Solutions"/>
        <s v="Game Of The Age"/>
        <s v="SADY AL MAJD TRADING"/>
        <s v="Mobile Telecommunications Company"/>
        <s v="Kabsat Al Taqnyah for Trading &amp;"/>
        <s v="Samsung Electronics SaudiArabia Ltd"/>
        <s v="QOMRA PRO. COMPANY"/>
        <s v="Saudi Telecom Channels"/>
        <s v="Naser Saif Al Sahimi Al Qahtani"/>
        <s v="GeeKay Advanced Trading Company"/>
        <s v="GeeKay Advanced Trading Company-ESD"/>
        <s v="Nojoom International Trading Est"/>
        <s v="Zed Game Trading Company"/>
        <s v="AFAQ Q Tech General Trading LLC-PSX"/>
        <s v="Al Rowad Electronics Company"/>
        <s v="Al Rabee &amp; Al Saif Trading Company"/>
        <s v="شركة هواوي تك. انفستمنت العربية"/>
        <s v="Yousef Abdul Karim Mohammed"/>
        <s v="Hussain Fahad Metaab AlMaziad"/>
        <s v="Abdullah Saleh Al Sultan and"/>
        <s v="Black Box Co."/>
        <s v="Al Jawhara Ibrahim Al Moqbel"/>
        <s v="Abdulaziz Hassan Alshethry Co."/>
        <s v="Wahba Trading Co. Ltd"/>
        <s v="Wahba Trading Co. Ltd_CAV"/>
        <s v="Sroor Obaid Alhamazani"/>
        <s v="Sada Saif Trading Company"/>
        <s v="Alinthalaq Trading Establishment"/>
        <s v="Nojoom International Trading Est."/>
        <s v="Jonon Allobah Trading Company"/>
        <s v="Mohammed Mishaan Abdulaziz"/>
        <s v="Rahi Corporation for Communications"/>
        <s v="NAV Trading Company"/>
        <s v="Al Nukhba Home Appliances Est"/>
        <s v="Cold Corner Company for selling"/>
        <s v="One Time Customer-HAP"/>
        <s v="Oasis Commercial Air Conditioning"/>
        <s v="Daerah Al Hadaf Trading Est"/>
        <s v="Blu store Company"/>
        <s v="ASHKAAL TRADING EST"/>
        <s v="Adawliah Company for Electronic App"/>
        <s v="MumzWorld Arabia Company for busine"/>
        <s v="Abdelrahman Abdelaziz Elhaqbani For"/>
        <s v="Riyadh International Food Company"/>
        <s v="Silver Dome Trading Est"/>
        <s v="Mehour Air Conditioning Co for Home"/>
        <s v="Al Jawhara Ibrahim Al Muqbel Tradin"/>
        <s v="Black Box Company"/>
        <s v="Basil bin Fahd bin Miteb Al Mazyad"/>
        <s v="Bandar Ali AlSudairi Trading Est"/>
        <s v="Al Rabee and Al Saif Trading Compan"/>
        <s v="مؤسسة بندر علي السديري التجارية"/>
        <s v="AlNukhbah Home Appliances Est"/>
        <s v="Sheta and Saif Trading Company"/>
        <s v="Al Khunaizan Trading Company"/>
        <s v="Modern House Trading Est"/>
        <s v="Noon E Commerce Solutions Company o"/>
        <s v="Hamad Abdullah Bin Suleman Almanea"/>
        <s v="Oasis Air Conditioning Trading Comp"/>
        <s v="Firstcry Trading Company one person"/>
        <s v="Qasr Al Awani Company closed Saudi"/>
        <s v="Diyar Al Moobtekron International C"/>
        <s v="Todo commercial company"/>
        <s v="Alghanim Trading Company"/>
        <s v="Abdullah Al Othaim Markets Company"/>
        <s v="Carrefour Saudi Hypermarkets Co"/>
        <s v="Abdullah Saleh Alsultan and Sons Co"/>
        <s v="Nadi Alqabdah Alrukmiyya Sports Company"/>
        <s v="Tamkeen International Home Applianc"/>
        <s v="Abayat Saudi Building Materials Co"/>
        <s v="United Electronics Co. eXtra"/>
        <s v="ABRAJ ALWATANIA TRADING EST"/>
        <s v="Sama Warehouses for Logistics"/>
        <s v="The third communication company for"/>
        <s v="Najem Alagheza trading co"/>
        <s v="Tajer BV for IT Co One Person Compa"/>
        <s v="Mumzworld Arabia Co for Business se"/>
        <s v="Sheta and Saif Trading Company Qass"/>
        <s v="Zension Saudi Information"/>
        <s v="Abdulrahman Mohammed AlMohaimid Tra"/>
        <s v="Establishment ALBRIQ ALSATI For log"/>
        <s v="Manarat Ebla Company Ltd"/>
        <s v="Ashwered Air Conditioning Est"/>
        <s v="Najem Alagheza trading company one"/>
        <s v="Roh Al Tajrubah Company"/>
        <s v="AL SARIYAH AL HADITHA For Trading C"/>
        <s v="Al Sariyah Al Haditha for Trading"/>
        <s v="Bandar Ali AlSudairi Trading Establ"/>
        <s v="TRENDYOL AL ARABIA For Trading Comp"/>
        <s v="Sheta Al Saif Trading Company RYD"/>
        <s v="مؤسسة يوسف عبد الكريم محمد الحركان التج"/>
        <s v="The Saudi Company for Tools and Har"/>
        <s v="Electronics House Trading Est"/>
        <s v="Folt for Home Appliances Est"/>
        <s v="WINDMASON CO"/>
        <s v="Al-Sairafi.Est."/>
        <s v="Sultan Bawahab_Binzagar St"/>
        <s v="C4 Sulamaniya Mall"/>
        <s v="Zaid First Trading Company"/>
        <s v="Al-Nagham Al-Ranan Est"/>
        <s v="Alireza Trading Company"/>
        <s v="Ahmed Abdulwahid Abdullah Anam Co."/>
        <s v="C4 Flamingo Mall - Jeddah III"/>
        <s v="Ehsas Al Salam Trading Co."/>
        <s v="EDDY United Co. Ltd.(Head Office)"/>
        <s v="First Business Company"/>
        <s v="LuLu  Jeddah -Gaming"/>
        <s v="LuLu Central WH -Jeddah (CAV)"/>
        <s v="Zelal al jasmin Trading"/>
        <s v="شركة اسواق بن داود التجارية"/>
        <s v="Danube  Company -HO"/>
        <s v="Al-Mustaghebel Al-Assasiyah"/>
        <s v="Modern Nagham Trading Est."/>
        <s v="Tafaroud Alroyah Co. for Investment"/>
        <s v="Fakhamat Air Conditioning Est."/>
        <s v="Albait Alshaml for Trading Est."/>
        <s v="Tamkeen International Home"/>
        <s v="Ahmed Abdulwahid Abdullah"/>
        <s v="Asad Company Limited"/>
        <s v="Muhammad Misfer Hussein Al Musleh"/>
        <s v="Al'afdal Modern Trading Company"/>
        <s v="Sabah Home Appliances Company"/>
        <s v="United Vision Trading Company"/>
        <s v="Infinity Tech Trading Company"/>
        <s v="Summer Breeze Trading Company"/>
        <s v="Ayaz Trading Company Limited"/>
        <s v="Naabi Trading Company"/>
        <s v="Saif Mansoor Al Harbi Est."/>
        <s v="Qimmat Maysan Home Appliances"/>
        <s v="Al Maslahi Trading Company"/>
        <s v="Kaya Alowla Trading Company"/>
        <s v="Al Isthawrah Trading Est."/>
        <s v="Dharkam International Trading Co."/>
        <s v="Lamsa al Hawa Al Asri Trading Co"/>
        <s v="Khudair Abdul Rahman Al Shehri"/>
        <s v="Al Masa Mall Company for"/>
        <s v="Mohammed Fayez Ali Al Shehri"/>
        <s v="Emtyaz Al Reyadah Trading Est."/>
        <s v="Toy Ship Foundation"/>
        <s v="Modern Trading Center Company"/>
        <s v="Dyar Al Fares Trading Company"/>
        <s v="PIXEL CO LTD"/>
        <s v="Smart Air Conditioning Corner"/>
        <s v="Muthalath Al Ruwad Home"/>
        <s v="Ghassan Trading Company"/>
        <s v="Muhammad Omar Saeed Bafeel"/>
        <s v="Al Raed Co for Home Appliances"/>
        <s v="Somaya Mohammed Al-Ghamdi"/>
        <s v="Ali Muhammad Al Mayouf Al"/>
        <s v="Al Wefaq Platinum Limited Company"/>
        <s v="Jawharat Al Janoub Trading Company"/>
        <s v="Developed Devices Commercial Compan"/>
        <s v="Artal Arabia Limited Company one pe"/>
        <s v="Ahmed Saeed Ahmed Barboud Home Appl"/>
        <s v="Al Rowad Al Mumayaz Home"/>
        <s v="Ahmed Ibrahim Yahya Shayba Establis"/>
        <s v="ABDUL RAHMAN ABDUL HAAFEZ BIN SHAIH"/>
        <s v="Al Ofoq Al Mumayaz Home"/>
        <s v="Osmantec Trading Company"/>
        <s v="Tafaroud AlRoyah Co for Investment"/>
        <s v="Majed Golden Trading Company"/>
        <s v="Bin Momen Trading Company"/>
        <s v="Laser Trading Est"/>
        <s v="Alaa Abdullah Abdul Wahid Al Ghamdi"/>
        <s v="Abdullah Abdul Wahed AlGhamdi Tradi"/>
        <s v="Bin Hamoud Saudi Trading Company"/>
        <s v="Artal Arabia Limited Company"/>
        <s v="Mohammed bin Musfir bin Hussein Al"/>
        <s v="مؤسسة علي محمد ال معيوف الشهراني للتجار"/>
        <s v="Muhammad Ibrahim Abdullah Falqi Tra"/>
        <s v="Mohammed Hassan Omar Al Amoudi Trad"/>
        <s v="Biladi Almutamayyizah Commercial Co"/>
        <s v="Dharkam International Trading Co"/>
        <s v="Al Ain Al Mamoura Trading Company"/>
        <s v="Al Safwa Plus Electronic Devices Co"/>
        <s v="Blue Smart Company for Electronic D"/>
        <s v="Diyar Al Fares Trading Company"/>
        <s v="Muthalath Al Rawad Home Appliances"/>
        <s v="Ali Muhammad Al Mayouf Al Shahrani"/>
        <s v="Khudair Abdul Rahman Muhammad"/>
        <s v="Al Ofoq Al Mumayaz Home Appliances"/>
        <s v="Muhammad Fayez Ali Al Shehri Tradin"/>
        <s v="Muhammad Omar Saeed Bafeel Trading"/>
        <s v="Air Technologies Solutions Company"/>
        <s v="Zagzoog For Home Appliances Co LTD"/>
        <s v="Establishment MAKAN ALTUMAIEZ Comme"/>
        <s v="Al Wakeel General Trading Company"/>
        <s v="Al Asar Al Naqi Air Conditioning an"/>
        <s v="Al Masa Mall Company for Household"/>
        <s v="Raed Discounts Trading Company one"/>
        <s v="Nestle Saudi Arabia LLC"/>
        <s v="Bu-Khamsin Est.For Elec.Equp."/>
        <s v="Muhammad Jawad Saleh Muhammad"/>
        <s v="Al-Ilaiw Trading Co"/>
        <s v="Al-Haddad Trading Store"/>
        <s v="Abdullah Ali Al-Dhamin &amp; Sons Co."/>
        <s v="Extra HO"/>
        <s v="Saudi Aramco"/>
        <s v="NASER MOHAMMED AL-BUQMI EST."/>
        <s v="Extra -Gaming (HO)"/>
        <s v="Moasasa Qannas Al Majrah"/>
        <s v="C4 WEST AVENUE MALL - DAMMAM"/>
        <s v="LAITH AL ARAB TRAD EST"/>
        <s v="Extra-ESD"/>
        <s v="LuLu  Khobar -Gaming"/>
        <s v="LuLu Central WH -Khobar (CAV)"/>
        <s v="Future Smart Cards Trading Corporation"/>
        <s v="Air Care Company for Air"/>
        <s v="Mohammed Bin Eid Al-Khater"/>
        <s v="Ayman Ahmed Ali Al-Jarafi"/>
        <s v="Mirza Redha Al-Jashi General"/>
        <s v="Ajwa Al Yamamah Home"/>
        <s v="Youssef Abdel Wahab Al Mousa"/>
        <s v="Khotwa Istebaqia Est. for Trading"/>
        <s v="Saleh &amp; Abdul Wahab Al Mousa"/>
        <s v="Al Othman Trading Limited Liability"/>
        <s v="Mohammed Bin Ali Bin Al Hamri"/>
        <s v="AlAmakin Group of Companies Ltd."/>
        <s v="Cold World Trading Est"/>
        <s v="Ajwaa Al Yamamah Home"/>
        <s v="Saleh and Abdul Wahab Al-Mousa"/>
        <s v="AL MOTAWA TRADING COMPANY"/>
        <s v="SALEH ABDUL WAHAB Al MOUSA COMPANY"/>
        <s v="Nasser Al Moubayed Sons Trading Com"/>
        <s v="Khotwa Istebaqia Est for Trading"/>
        <s v="Muhammad Jawad Saleh Muhammad Bukha"/>
        <s v="ABYAT SAUDI BUIDLNG MATERRIALS COMP"/>
        <s v="Mohammed Bin Eid Al Khater and Brot"/>
        <s v="Al Motamakin Trading Est"/>
        <s v="Al Othman Trading Company"/>
        <s v="Mirza Redha Al Jishi General Contra"/>
        <s v="United Electronics Company-eXtra"/>
        <s v="شركة وهج الاصيل للمقاولات شركة شخص واحد"/>
        <s v="Ajwa Al Yamamah Home Appliances Est"/>
        <s v="Fahad Al Shamal Establishment for H"/>
        <s v="Al Roya Al Barda for Refrigeration"/>
        <s v="WR Jeddah Main SVC"/>
        <s v="WR Khamis Mushayat SVC"/>
        <s v="WR Makkah SVC"/>
        <s v="WR Madina SVC"/>
        <s v="ER Al Khobar Main SVC"/>
        <s v="CR Riyadh Main SVC"/>
        <s v="CR Gassim  SVC"/>
        <s v="FAKHROO INTERNATIONAL"/>
        <s v="Al Mogamsi Trading Est."/>
        <s v="Holoul Electronic Waste Treatment"/>
        <s v="Al Burkan Maintenance Company"/>
        <s v="MAQASHA Trading Est."/>
        <s v="KUTAYBA YUSUF ALGHANIM AND PARTNERS"/>
        <s v="Tamer Arabia Trading Company"/>
        <s v="MECL-CR-RYD HA SVC"/>
        <s v="C4 Madinah"/>
        <s v="Sony Middle East And Africa"/>
        <s v="Sony Interactive Entertainment Europe"/>
        <s v="DEVCO FZ LLC"/>
        <s v="Epay Digital Middle East FZ-LLC"/>
        <s v="Nexstgo Company Limited"/>
        <s v="Panasonic Marketing Middle East"/>
        <s v="Hisense Electronics LLC"/>
        <s v="The Copyright Promotions Licensing"/>
        <s v="M M R General Trading L.L.C"/>
        <s v="Admiral Appliances &amp; Electro"/>
        <s v="Arcelik Hitachi Home Appliances"/>
        <s v="Al Qadi Pharmacy &amp; Establishment LLC"/>
        <s v="MEA Brands DMCC"/>
        <s v="Animation International FZ LLC DMCC"/>
        <s v="WORLD INVENTIONS TRADING FZE"/>
        <s v="Alfa Co."/>
        <s v="Modern Media System"/>
        <s v="Al Faisalia Group Holding Co."/>
        <s v="First Distribution Company"/>
        <s v="La3eb Limited Company"/>
        <s v="Electronics &amp; Systems Holding Company"/>
        <s v="Dammam Showroom"/>
        <s v="Dammam 2 Showroom"/>
        <s v="La3eb"/>
        <s v="Granada Mall Showroom"/>
        <s v="Hassa Showroom"/>
        <s v="MECL-JED Tabuk Showroom"/>
        <s v="MECL-JED-Khamis Mushayat Showroom"/>
        <s v="King Fahd Showroom"/>
        <s v="MECL-KHB-King Fahd Showroom"/>
        <s v="MECL-KHB-Dammam Showroom"/>
        <s v="MECL-DAM-Aziziyah HA01"/>
        <s v="La Terra Showroom"/>
        <s v="Mestores.com"/>
        <s v="SONYWORLD.SA"/>
        <s v="Batha Showroom"/>
        <s v="Level-UP "/>
        <s v="MECL-RYD-Dar Al Wakalat Showroom"/>
        <s v="MECL-RYD-Granada Center Showroom"/>
        <s v="Sony Showroom Warood"/>
        <s v="MECL Ecommerce"/>
        <s v="Mestores Online Store"/>
        <s v="Tabuk Showroom"/>
        <s v="Dar Al Wakalat Showroom"/>
        <s v="MECL-RYD-Warood Showroom"/>
        <s v="Technical Refrigeration W"/>
        <s v="Smart Sources Company"/>
        <s v="MECL-JED-La Terra Mall Sh"/>
        <s v="MECL-KHB-Al Hassa Showroo"/>
        <s v="MECL-KHB-Dammam 2 FAISALI"/>
        <s v="MECL-KHB-RAKA Showroom"/>
        <s v="MECL-RYD-Batha Showroom"/>
        <s v="YouGotaGift"/>
        <s v="ONE TIME CUSTOMER-PANA"/>
      </sharedItems>
    </cacheField>
    <cacheField name="H.O. Code" numFmtId="1">
      <sharedItems containsMixedTypes="1" containsNumber="1" containsInteger="1" minValue="1000001" maxValue="1400006100" count="266">
        <n v="1000057"/>
        <n v="1000001"/>
        <n v="1000089"/>
        <n v="1000185"/>
        <n v="1000205"/>
        <n v="1000255"/>
        <n v="1000283"/>
        <n v="1000434"/>
        <n v="1000443"/>
        <n v="1000464"/>
        <n v="1000471"/>
        <n v="1000480"/>
        <n v="1000532"/>
        <n v="1000559"/>
        <n v="1000565"/>
        <n v="1000013"/>
        <n v="1000632"/>
        <n v="1000633"/>
        <n v="1000639"/>
        <n v="1000662"/>
        <n v="1000677"/>
        <n v="1000682"/>
        <n v="1000707"/>
        <n v="1000712"/>
        <n v="1000720"/>
        <n v="1000762"/>
        <n v="1000769"/>
        <n v="1000787"/>
        <n v="1000790"/>
        <n v="1000793"/>
        <n v="1000795"/>
        <n v="1000796"/>
        <n v="1000797"/>
        <n v="1000798"/>
        <n v="1000803"/>
        <n v="1000808"/>
        <n v="1000809"/>
        <n v="1000815"/>
        <n v="1000819"/>
        <n v="1000820"/>
        <n v="1000830"/>
        <n v="1000836"/>
        <n v="1000839"/>
        <n v="1000840"/>
        <n v="1000841"/>
        <n v="1000852"/>
        <n v="1000857"/>
        <n v="1000863"/>
        <n v="1000865"/>
        <n v="1000869"/>
        <n v="1000870"/>
        <n v="1000872"/>
        <n v="1000876"/>
        <n v="1000877"/>
        <n v="1000882"/>
        <n v="1000884"/>
        <n v="1000888"/>
        <n v="1000889"/>
        <n v="1000904"/>
        <n v="1000905"/>
        <n v="1000912"/>
        <n v="1000915"/>
        <n v="1000924"/>
        <n v="1000920"/>
        <n v="1000927"/>
        <n v="1000929"/>
        <n v="3000433"/>
        <n v="1000932"/>
        <n v="1000079"/>
        <n v="1000941"/>
        <n v="2000498"/>
        <n v="1000944"/>
        <n v="3000105"/>
        <n v="1000946"/>
        <n v="1000947"/>
        <n v="1000948"/>
        <n v="1000950"/>
        <n v="1000970"/>
        <n v="1000979"/>
        <n v="1000982"/>
        <n v="1000985"/>
        <n v="1000988"/>
        <n v="1000991"/>
        <n v="1001000"/>
        <n v="1001001"/>
        <n v="1001008"/>
        <n v="1001016"/>
        <n v="1001017"/>
        <n v="1001024"/>
        <n v="1001030"/>
        <n v="1001031"/>
        <n v="2000002"/>
        <n v="2000006"/>
        <n v="2000113"/>
        <n v="2000151"/>
        <n v="2000172"/>
        <n v="2000215"/>
        <n v="2000239"/>
        <n v="2000263"/>
        <n v="2000293"/>
        <n v="2000422"/>
        <n v="2000443"/>
        <n v="2000455"/>
        <n v="2000505"/>
        <n v="2000514"/>
        <n v="2000518"/>
        <n v="2000519"/>
        <n v="2000524"/>
        <n v="2000525"/>
        <n v="2000527"/>
        <n v="2000530"/>
        <n v="2000531"/>
        <n v="2000532"/>
        <n v="2000534"/>
        <n v="2000535"/>
        <n v="2000536"/>
        <n v="2000537"/>
        <n v="2000538"/>
        <n v="2000543"/>
        <n v="2000544"/>
        <n v="2000545"/>
        <n v="2000546"/>
        <n v="2000556"/>
        <n v="2000594"/>
        <n v="2000558"/>
        <n v="2000564"/>
        <n v="2000567"/>
        <n v="2000572"/>
        <n v="2000574"/>
        <n v="2000576"/>
        <n v="2000581"/>
        <n v="2000587"/>
        <n v="2000562"/>
        <n v="2000595"/>
        <n v="2000596"/>
        <n v="2000597"/>
        <n v="2000602"/>
        <n v="2000604"/>
        <n v="2000606"/>
        <n v="2000609"/>
        <n v="2000610"/>
        <n v="2000611"/>
        <n v="2000613"/>
        <n v="2000614"/>
        <n v="2000617"/>
        <n v="2000618"/>
        <n v="2000511"/>
        <n v="2000624"/>
        <n v="2000627"/>
        <n v="2000629"/>
        <n v="2000630"/>
        <n v="2000631"/>
        <n v="2000632"/>
        <n v="2000633"/>
        <n v="2000647"/>
        <n v="2000650"/>
        <n v="2000651"/>
        <n v="2000686"/>
        <n v="2000688"/>
        <n v="2000696"/>
        <n v="2000737"/>
        <n v="2000738"/>
        <n v="2000739"/>
        <n v="2000755"/>
        <n v="2000758"/>
        <n v="2000766"/>
        <n v="2000768"/>
        <n v="3000007"/>
        <n v="3000079"/>
        <n v="3000080"/>
        <n v="3000083"/>
        <n v="3000086"/>
        <n v="3000128"/>
        <n v="3000141"/>
        <n v="3000307"/>
        <n v="3000336"/>
        <n v="3000406"/>
        <n v="3000421"/>
        <n v="3000427"/>
        <n v="3000429"/>
        <n v="3000431"/>
        <n v="3000432"/>
        <n v="3000434"/>
        <n v="3000437"/>
        <n v="3000438"/>
        <n v="3000439"/>
        <n v="3000441"/>
        <n v="3000443"/>
        <n v="3000444"/>
        <n v="3000458"/>
        <n v="3000463"/>
        <n v="3000469"/>
        <n v="3000472"/>
        <n v="3000493"/>
        <n v="3000496"/>
        <n v="3000501"/>
        <n v="3000509"/>
        <n v="5000000"/>
        <n v="5000001"/>
        <n v="5000002"/>
        <n v="5000003"/>
        <n v="5000006"/>
        <n v="5000011"/>
        <n v="5000013"/>
        <n v="5000033"/>
        <n v="5000036"/>
        <n v="5000037"/>
        <n v="5000039"/>
        <n v="5000040"/>
        <n v="1000422"/>
        <n v="5000044"/>
        <n v="5000045"/>
        <n v="7000001"/>
        <n v="7000004"/>
        <n v="7000008"/>
        <n v="7000009"/>
        <n v="7000016"/>
        <n v="7000021"/>
        <n v="7000022"/>
        <n v="7000028"/>
        <n v="7000031"/>
        <n v="7000032"/>
        <n v="7000035"/>
        <n v="7000036"/>
        <n v="7000037"/>
        <n v="7000026"/>
        <n v="7000039"/>
        <n v="1400001700"/>
        <n v="1400002400"/>
        <n v="1400004200"/>
        <n v="1400005700"/>
        <n v="1400005800"/>
        <n v="1400006100"/>
        <s v="DAMAM"/>
        <s v="DAMAM2"/>
        <s v="DS01"/>
        <s v="GRNAD"/>
        <s v="HASSA"/>
        <s v="JS02"/>
        <s v="JS07"/>
        <s v="KFAHD"/>
        <s v="KS01"/>
        <s v="KS03"/>
        <s v="KS16"/>
        <s v="LATER"/>
        <s v="MESTORES"/>
        <s v="OC01"/>
        <s v="RAJHI"/>
        <s v="RL01"/>
        <s v="RS06"/>
        <s v="RS11"/>
        <s v="RS17"/>
        <s v="RS96"/>
        <s v="RS97"/>
        <s v="TABUK"/>
        <s v="WAKAT"/>
        <s v="WAROOD"/>
        <n v="1000951"/>
        <n v="1001027"/>
        <s v="JS15"/>
        <s v="KS04"/>
        <s v="KS14"/>
        <s v="KS15"/>
        <s v="RS04"/>
        <n v="1000764"/>
        <n v="10007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">
  <r>
    <x v="0"/>
    <x v="0"/>
    <x v="0"/>
  </r>
  <r>
    <x v="1"/>
    <x v="1"/>
    <x v="1"/>
  </r>
  <r>
    <x v="2"/>
    <x v="2"/>
    <x v="2"/>
  </r>
  <r>
    <x v="3"/>
    <x v="3"/>
    <x v="1"/>
  </r>
  <r>
    <x v="4"/>
    <x v="4"/>
    <x v="1"/>
  </r>
  <r>
    <x v="5"/>
    <x v="5"/>
    <x v="3"/>
  </r>
  <r>
    <x v="6"/>
    <x v="6"/>
    <x v="4"/>
  </r>
  <r>
    <x v="7"/>
    <x v="7"/>
    <x v="5"/>
  </r>
  <r>
    <x v="8"/>
    <x v="8"/>
    <x v="6"/>
  </r>
  <r>
    <x v="9"/>
    <x v="9"/>
    <x v="7"/>
  </r>
  <r>
    <x v="10"/>
    <x v="0"/>
    <x v="0"/>
  </r>
  <r>
    <x v="11"/>
    <x v="10"/>
    <x v="8"/>
  </r>
  <r>
    <x v="12"/>
    <x v="11"/>
    <x v="9"/>
  </r>
  <r>
    <x v="13"/>
    <x v="12"/>
    <x v="10"/>
  </r>
  <r>
    <x v="14"/>
    <x v="13"/>
    <x v="11"/>
  </r>
  <r>
    <x v="15"/>
    <x v="14"/>
    <x v="12"/>
  </r>
  <r>
    <x v="16"/>
    <x v="15"/>
    <x v="13"/>
  </r>
  <r>
    <x v="17"/>
    <x v="16"/>
    <x v="14"/>
  </r>
  <r>
    <x v="18"/>
    <x v="17"/>
    <x v="3"/>
  </r>
  <r>
    <x v="19"/>
    <x v="18"/>
    <x v="3"/>
  </r>
  <r>
    <x v="20"/>
    <x v="19"/>
    <x v="15"/>
  </r>
  <r>
    <x v="21"/>
    <x v="20"/>
    <x v="15"/>
  </r>
  <r>
    <x v="22"/>
    <x v="2"/>
    <x v="2"/>
  </r>
  <r>
    <x v="23"/>
    <x v="21"/>
    <x v="15"/>
  </r>
  <r>
    <x v="24"/>
    <x v="22"/>
    <x v="16"/>
  </r>
  <r>
    <x v="25"/>
    <x v="23"/>
    <x v="17"/>
  </r>
  <r>
    <x v="26"/>
    <x v="24"/>
    <x v="18"/>
  </r>
  <r>
    <x v="27"/>
    <x v="25"/>
    <x v="19"/>
  </r>
  <r>
    <x v="28"/>
    <x v="26"/>
    <x v="20"/>
  </r>
  <r>
    <x v="29"/>
    <x v="27"/>
    <x v="21"/>
  </r>
  <r>
    <x v="30"/>
    <x v="12"/>
    <x v="10"/>
  </r>
  <r>
    <x v="31"/>
    <x v="24"/>
    <x v="18"/>
  </r>
  <r>
    <x v="32"/>
    <x v="28"/>
    <x v="22"/>
  </r>
  <r>
    <x v="33"/>
    <x v="29"/>
    <x v="23"/>
  </r>
  <r>
    <x v="34"/>
    <x v="30"/>
    <x v="24"/>
  </r>
  <r>
    <x v="35"/>
    <x v="31"/>
    <x v="13"/>
  </r>
  <r>
    <x v="36"/>
    <x v="32"/>
    <x v="25"/>
  </r>
  <r>
    <x v="37"/>
    <x v="33"/>
    <x v="26"/>
  </r>
  <r>
    <x v="38"/>
    <x v="34"/>
    <x v="26"/>
  </r>
  <r>
    <x v="39"/>
    <x v="35"/>
    <x v="27"/>
  </r>
  <r>
    <x v="40"/>
    <x v="36"/>
    <x v="28"/>
  </r>
  <r>
    <x v="41"/>
    <x v="37"/>
    <x v="0"/>
  </r>
  <r>
    <x v="42"/>
    <x v="38"/>
    <x v="29"/>
  </r>
  <r>
    <x v="43"/>
    <x v="2"/>
    <x v="2"/>
  </r>
  <r>
    <x v="44"/>
    <x v="39"/>
    <x v="30"/>
  </r>
  <r>
    <x v="45"/>
    <x v="40"/>
    <x v="31"/>
  </r>
  <r>
    <x v="46"/>
    <x v="41"/>
    <x v="32"/>
  </r>
  <r>
    <x v="47"/>
    <x v="42"/>
    <x v="33"/>
  </r>
  <r>
    <x v="48"/>
    <x v="2"/>
    <x v="2"/>
  </r>
  <r>
    <x v="49"/>
    <x v="43"/>
    <x v="34"/>
  </r>
  <r>
    <x v="50"/>
    <x v="0"/>
    <x v="0"/>
  </r>
  <r>
    <x v="51"/>
    <x v="44"/>
    <x v="11"/>
  </r>
  <r>
    <x v="52"/>
    <x v="45"/>
    <x v="35"/>
  </r>
  <r>
    <x v="53"/>
    <x v="46"/>
    <x v="36"/>
  </r>
  <r>
    <x v="54"/>
    <x v="47"/>
    <x v="37"/>
  </r>
  <r>
    <x v="55"/>
    <x v="48"/>
    <x v="37"/>
  </r>
  <r>
    <x v="56"/>
    <x v="49"/>
    <x v="38"/>
  </r>
  <r>
    <x v="57"/>
    <x v="50"/>
    <x v="39"/>
  </r>
  <r>
    <x v="58"/>
    <x v="51"/>
    <x v="40"/>
  </r>
  <r>
    <x v="59"/>
    <x v="39"/>
    <x v="30"/>
  </r>
  <r>
    <x v="60"/>
    <x v="52"/>
    <x v="27"/>
  </r>
  <r>
    <x v="61"/>
    <x v="53"/>
    <x v="41"/>
  </r>
  <r>
    <x v="62"/>
    <x v="54"/>
    <x v="42"/>
  </r>
  <r>
    <x v="63"/>
    <x v="55"/>
    <x v="43"/>
  </r>
  <r>
    <x v="64"/>
    <x v="56"/>
    <x v="44"/>
  </r>
  <r>
    <x v="65"/>
    <x v="51"/>
    <x v="40"/>
  </r>
  <r>
    <x v="66"/>
    <x v="42"/>
    <x v="33"/>
  </r>
  <r>
    <x v="67"/>
    <x v="57"/>
    <x v="45"/>
  </r>
  <r>
    <x v="68"/>
    <x v="58"/>
    <x v="46"/>
  </r>
  <r>
    <x v="69"/>
    <x v="41"/>
    <x v="32"/>
  </r>
  <r>
    <x v="70"/>
    <x v="44"/>
    <x v="11"/>
  </r>
  <r>
    <x v="71"/>
    <x v="59"/>
    <x v="47"/>
  </r>
  <r>
    <x v="72"/>
    <x v="58"/>
    <x v="46"/>
  </r>
  <r>
    <x v="73"/>
    <x v="60"/>
    <x v="48"/>
  </r>
  <r>
    <x v="74"/>
    <x v="61"/>
    <x v="49"/>
  </r>
  <r>
    <x v="75"/>
    <x v="62"/>
    <x v="50"/>
  </r>
  <r>
    <x v="76"/>
    <x v="63"/>
    <x v="51"/>
  </r>
  <r>
    <x v="77"/>
    <x v="63"/>
    <x v="51"/>
  </r>
  <r>
    <x v="78"/>
    <x v="64"/>
    <x v="52"/>
  </r>
  <r>
    <x v="79"/>
    <x v="65"/>
    <x v="53"/>
  </r>
  <r>
    <x v="80"/>
    <x v="0"/>
    <x v="0"/>
  </r>
  <r>
    <x v="81"/>
    <x v="2"/>
    <x v="2"/>
  </r>
  <r>
    <x v="82"/>
    <x v="66"/>
    <x v="54"/>
  </r>
  <r>
    <x v="83"/>
    <x v="0"/>
    <x v="0"/>
  </r>
  <r>
    <x v="84"/>
    <x v="67"/>
    <x v="55"/>
  </r>
  <r>
    <x v="85"/>
    <x v="41"/>
    <x v="32"/>
  </r>
  <r>
    <x v="86"/>
    <x v="68"/>
    <x v="56"/>
  </r>
  <r>
    <x v="87"/>
    <x v="69"/>
    <x v="57"/>
  </r>
  <r>
    <x v="88"/>
    <x v="70"/>
    <x v="35"/>
  </r>
  <r>
    <x v="89"/>
    <x v="61"/>
    <x v="49"/>
  </r>
  <r>
    <x v="90"/>
    <x v="24"/>
    <x v="18"/>
  </r>
  <r>
    <x v="91"/>
    <x v="71"/>
    <x v="11"/>
  </r>
  <r>
    <x v="92"/>
    <x v="72"/>
    <x v="58"/>
  </r>
  <r>
    <x v="93"/>
    <x v="73"/>
    <x v="59"/>
  </r>
  <r>
    <x v="94"/>
    <x v="74"/>
    <x v="30"/>
  </r>
  <r>
    <x v="95"/>
    <x v="75"/>
    <x v="59"/>
  </r>
  <r>
    <x v="96"/>
    <x v="76"/>
    <x v="45"/>
  </r>
  <r>
    <x v="97"/>
    <x v="77"/>
    <x v="2"/>
  </r>
  <r>
    <x v="98"/>
    <x v="78"/>
    <x v="60"/>
  </r>
  <r>
    <x v="99"/>
    <x v="79"/>
    <x v="61"/>
  </r>
  <r>
    <x v="100"/>
    <x v="80"/>
    <x v="18"/>
  </r>
  <r>
    <x v="101"/>
    <x v="81"/>
    <x v="10"/>
  </r>
  <r>
    <x v="102"/>
    <x v="82"/>
    <x v="48"/>
  </r>
  <r>
    <x v="103"/>
    <x v="83"/>
    <x v="62"/>
  </r>
  <r>
    <x v="104"/>
    <x v="84"/>
    <x v="63"/>
  </r>
  <r>
    <x v="105"/>
    <x v="84"/>
    <x v="63"/>
  </r>
  <r>
    <x v="106"/>
    <x v="83"/>
    <x v="62"/>
  </r>
  <r>
    <x v="107"/>
    <x v="83"/>
    <x v="62"/>
  </r>
  <r>
    <x v="108"/>
    <x v="38"/>
    <x v="29"/>
  </r>
  <r>
    <x v="109"/>
    <x v="85"/>
    <x v="64"/>
  </r>
  <r>
    <x v="110"/>
    <x v="72"/>
    <x v="58"/>
  </r>
  <r>
    <x v="111"/>
    <x v="86"/>
    <x v="65"/>
  </r>
  <r>
    <x v="112"/>
    <x v="81"/>
    <x v="10"/>
  </r>
  <r>
    <x v="113"/>
    <x v="87"/>
    <x v="66"/>
  </r>
  <r>
    <x v="114"/>
    <x v="88"/>
    <x v="67"/>
  </r>
  <r>
    <x v="115"/>
    <x v="89"/>
    <x v="68"/>
  </r>
  <r>
    <x v="116"/>
    <x v="89"/>
    <x v="68"/>
  </r>
  <r>
    <x v="117"/>
    <x v="90"/>
    <x v="34"/>
  </r>
  <r>
    <x v="118"/>
    <x v="91"/>
    <x v="69"/>
  </r>
  <r>
    <x v="119"/>
    <x v="92"/>
    <x v="70"/>
  </r>
  <r>
    <x v="120"/>
    <x v="93"/>
    <x v="71"/>
  </r>
  <r>
    <x v="121"/>
    <x v="94"/>
    <x v="72"/>
  </r>
  <r>
    <x v="122"/>
    <x v="95"/>
    <x v="73"/>
  </r>
  <r>
    <x v="123"/>
    <x v="96"/>
    <x v="74"/>
  </r>
  <r>
    <x v="124"/>
    <x v="97"/>
    <x v="75"/>
  </r>
  <r>
    <x v="125"/>
    <x v="89"/>
    <x v="68"/>
  </r>
  <r>
    <x v="126"/>
    <x v="98"/>
    <x v="76"/>
  </r>
  <r>
    <x v="127"/>
    <x v="99"/>
    <x v="77"/>
  </r>
  <r>
    <x v="128"/>
    <x v="100"/>
    <x v="53"/>
  </r>
  <r>
    <x v="129"/>
    <x v="100"/>
    <x v="53"/>
  </r>
  <r>
    <x v="130"/>
    <x v="101"/>
    <x v="2"/>
  </r>
  <r>
    <x v="131"/>
    <x v="79"/>
    <x v="61"/>
  </r>
  <r>
    <x v="132"/>
    <x v="102"/>
    <x v="78"/>
  </r>
  <r>
    <x v="133"/>
    <x v="72"/>
    <x v="58"/>
  </r>
  <r>
    <x v="134"/>
    <x v="103"/>
    <x v="79"/>
  </r>
  <r>
    <x v="135"/>
    <x v="104"/>
    <x v="80"/>
  </r>
  <r>
    <x v="136"/>
    <x v="105"/>
    <x v="81"/>
  </r>
  <r>
    <x v="137"/>
    <x v="106"/>
    <x v="82"/>
  </r>
  <r>
    <x v="138"/>
    <x v="107"/>
    <x v="76"/>
  </r>
  <r>
    <x v="139"/>
    <x v="84"/>
    <x v="63"/>
  </r>
  <r>
    <x v="140"/>
    <x v="108"/>
    <x v="83"/>
  </r>
  <r>
    <x v="141"/>
    <x v="109"/>
    <x v="84"/>
  </r>
  <r>
    <x v="142"/>
    <x v="110"/>
    <x v="84"/>
  </r>
  <r>
    <x v="143"/>
    <x v="100"/>
    <x v="53"/>
  </r>
  <r>
    <x v="144"/>
    <x v="109"/>
    <x v="84"/>
  </r>
  <r>
    <x v="145"/>
    <x v="111"/>
    <x v="59"/>
  </r>
  <r>
    <x v="146"/>
    <x v="112"/>
    <x v="85"/>
  </r>
  <r>
    <x v="147"/>
    <x v="113"/>
    <x v="2"/>
  </r>
  <r>
    <x v="148"/>
    <x v="112"/>
    <x v="85"/>
  </r>
  <r>
    <x v="149"/>
    <x v="114"/>
    <x v="32"/>
  </r>
  <r>
    <x v="150"/>
    <x v="115"/>
    <x v="86"/>
  </r>
  <r>
    <x v="151"/>
    <x v="116"/>
    <x v="87"/>
  </r>
  <r>
    <x v="152"/>
    <x v="116"/>
    <x v="87"/>
  </r>
  <r>
    <x v="153"/>
    <x v="111"/>
    <x v="59"/>
  </r>
  <r>
    <x v="154"/>
    <x v="115"/>
    <x v="88"/>
  </r>
  <r>
    <x v="155"/>
    <x v="115"/>
    <x v="88"/>
  </r>
  <r>
    <x v="156"/>
    <x v="68"/>
    <x v="56"/>
  </r>
  <r>
    <x v="157"/>
    <x v="68"/>
    <x v="56"/>
  </r>
  <r>
    <x v="158"/>
    <x v="117"/>
    <x v="89"/>
  </r>
  <r>
    <x v="159"/>
    <x v="118"/>
    <x v="90"/>
  </r>
  <r>
    <x v="160"/>
    <x v="119"/>
    <x v="91"/>
  </r>
  <r>
    <x v="161"/>
    <x v="120"/>
    <x v="92"/>
  </r>
  <r>
    <x v="162"/>
    <x v="121"/>
    <x v="1"/>
  </r>
  <r>
    <x v="163"/>
    <x v="122"/>
    <x v="93"/>
  </r>
  <r>
    <x v="164"/>
    <x v="123"/>
    <x v="94"/>
  </r>
  <r>
    <x v="165"/>
    <x v="124"/>
    <x v="95"/>
  </r>
  <r>
    <x v="166"/>
    <x v="125"/>
    <x v="96"/>
  </r>
  <r>
    <x v="167"/>
    <x v="126"/>
    <x v="1"/>
  </r>
  <r>
    <x v="168"/>
    <x v="127"/>
    <x v="97"/>
  </r>
  <r>
    <x v="169"/>
    <x v="128"/>
    <x v="98"/>
  </r>
  <r>
    <x v="170"/>
    <x v="129"/>
    <x v="99"/>
  </r>
  <r>
    <x v="171"/>
    <x v="130"/>
    <x v="15"/>
  </r>
  <r>
    <x v="172"/>
    <x v="131"/>
    <x v="15"/>
  </r>
  <r>
    <x v="173"/>
    <x v="132"/>
    <x v="100"/>
  </r>
  <r>
    <x v="174"/>
    <x v="133"/>
    <x v="101"/>
  </r>
  <r>
    <x v="175"/>
    <x v="129"/>
    <x v="99"/>
  </r>
  <r>
    <x v="176"/>
    <x v="127"/>
    <x v="97"/>
  </r>
  <r>
    <x v="177"/>
    <x v="134"/>
    <x v="101"/>
  </r>
  <r>
    <x v="178"/>
    <x v="135"/>
    <x v="102"/>
  </r>
  <r>
    <x v="179"/>
    <x v="136"/>
    <x v="103"/>
  </r>
  <r>
    <x v="180"/>
    <x v="137"/>
    <x v="104"/>
  </r>
  <r>
    <x v="181"/>
    <x v="138"/>
    <x v="105"/>
  </r>
  <r>
    <x v="182"/>
    <x v="139"/>
    <x v="106"/>
  </r>
  <r>
    <x v="183"/>
    <x v="140"/>
    <x v="70"/>
  </r>
  <r>
    <x v="184"/>
    <x v="141"/>
    <x v="96"/>
  </r>
  <r>
    <x v="185"/>
    <x v="142"/>
    <x v="107"/>
  </r>
  <r>
    <x v="186"/>
    <x v="143"/>
    <x v="108"/>
  </r>
  <r>
    <x v="187"/>
    <x v="144"/>
    <x v="109"/>
  </r>
  <r>
    <x v="188"/>
    <x v="145"/>
    <x v="110"/>
  </r>
  <r>
    <x v="189"/>
    <x v="146"/>
    <x v="111"/>
  </r>
  <r>
    <x v="190"/>
    <x v="147"/>
    <x v="112"/>
  </r>
  <r>
    <x v="191"/>
    <x v="148"/>
    <x v="113"/>
  </r>
  <r>
    <x v="192"/>
    <x v="149"/>
    <x v="114"/>
  </r>
  <r>
    <x v="193"/>
    <x v="150"/>
    <x v="115"/>
  </r>
  <r>
    <x v="194"/>
    <x v="151"/>
    <x v="116"/>
  </r>
  <r>
    <x v="195"/>
    <x v="152"/>
    <x v="117"/>
  </r>
  <r>
    <x v="196"/>
    <x v="153"/>
    <x v="118"/>
  </r>
  <r>
    <x v="197"/>
    <x v="154"/>
    <x v="119"/>
  </r>
  <r>
    <x v="198"/>
    <x v="155"/>
    <x v="120"/>
  </r>
  <r>
    <x v="199"/>
    <x v="156"/>
    <x v="121"/>
  </r>
  <r>
    <x v="200"/>
    <x v="144"/>
    <x v="109"/>
  </r>
  <r>
    <x v="201"/>
    <x v="152"/>
    <x v="117"/>
  </r>
  <r>
    <x v="202"/>
    <x v="150"/>
    <x v="115"/>
  </r>
  <r>
    <x v="203"/>
    <x v="142"/>
    <x v="107"/>
  </r>
  <r>
    <x v="204"/>
    <x v="151"/>
    <x v="116"/>
  </r>
  <r>
    <x v="205"/>
    <x v="157"/>
    <x v="122"/>
  </r>
  <r>
    <x v="206"/>
    <x v="158"/>
    <x v="123"/>
  </r>
  <r>
    <x v="207"/>
    <x v="159"/>
    <x v="124"/>
  </r>
  <r>
    <x v="208"/>
    <x v="157"/>
    <x v="122"/>
  </r>
  <r>
    <x v="209"/>
    <x v="159"/>
    <x v="124"/>
  </r>
  <r>
    <x v="210"/>
    <x v="160"/>
    <x v="125"/>
  </r>
  <r>
    <x v="211"/>
    <x v="154"/>
    <x v="119"/>
  </r>
  <r>
    <x v="212"/>
    <x v="161"/>
    <x v="126"/>
  </r>
  <r>
    <x v="213"/>
    <x v="161"/>
    <x v="126"/>
  </r>
  <r>
    <x v="214"/>
    <x v="153"/>
    <x v="118"/>
  </r>
  <r>
    <x v="215"/>
    <x v="137"/>
    <x v="104"/>
  </r>
  <r>
    <x v="216"/>
    <x v="138"/>
    <x v="105"/>
  </r>
  <r>
    <x v="217"/>
    <x v="162"/>
    <x v="127"/>
  </r>
  <r>
    <x v="218"/>
    <x v="163"/>
    <x v="128"/>
  </r>
  <r>
    <x v="219"/>
    <x v="163"/>
    <x v="128"/>
  </r>
  <r>
    <x v="220"/>
    <x v="164"/>
    <x v="129"/>
  </r>
  <r>
    <x v="221"/>
    <x v="156"/>
    <x v="121"/>
  </r>
  <r>
    <x v="222"/>
    <x v="165"/>
    <x v="130"/>
  </r>
  <r>
    <x v="223"/>
    <x v="166"/>
    <x v="131"/>
  </r>
  <r>
    <x v="224"/>
    <x v="138"/>
    <x v="105"/>
  </r>
  <r>
    <x v="225"/>
    <x v="167"/>
    <x v="132"/>
  </r>
  <r>
    <x v="226"/>
    <x v="38"/>
    <x v="29"/>
  </r>
  <r>
    <x v="227"/>
    <x v="158"/>
    <x v="123"/>
  </r>
  <r>
    <x v="228"/>
    <x v="168"/>
    <x v="133"/>
  </r>
  <r>
    <x v="229"/>
    <x v="169"/>
    <x v="134"/>
  </r>
  <r>
    <x v="230"/>
    <x v="170"/>
    <x v="135"/>
  </r>
  <r>
    <x v="231"/>
    <x v="146"/>
    <x v="111"/>
  </r>
  <r>
    <x v="232"/>
    <x v="143"/>
    <x v="108"/>
  </r>
  <r>
    <x v="233"/>
    <x v="153"/>
    <x v="118"/>
  </r>
  <r>
    <x v="234"/>
    <x v="171"/>
    <x v="136"/>
  </r>
  <r>
    <x v="235"/>
    <x v="160"/>
    <x v="125"/>
  </r>
  <r>
    <x v="236"/>
    <x v="172"/>
    <x v="137"/>
  </r>
  <r>
    <x v="237"/>
    <x v="173"/>
    <x v="138"/>
  </r>
  <r>
    <x v="238"/>
    <x v="163"/>
    <x v="128"/>
  </r>
  <r>
    <x v="239"/>
    <x v="174"/>
    <x v="139"/>
  </r>
  <r>
    <x v="240"/>
    <x v="175"/>
    <x v="140"/>
  </r>
  <r>
    <x v="241"/>
    <x v="176"/>
    <x v="141"/>
  </r>
  <r>
    <x v="242"/>
    <x v="146"/>
    <x v="111"/>
  </r>
  <r>
    <x v="243"/>
    <x v="177"/>
    <x v="142"/>
  </r>
  <r>
    <x v="244"/>
    <x v="178"/>
    <x v="143"/>
  </r>
  <r>
    <x v="245"/>
    <x v="179"/>
    <x v="144"/>
  </r>
  <r>
    <x v="246"/>
    <x v="180"/>
    <x v="145"/>
  </r>
  <r>
    <x v="247"/>
    <x v="140"/>
    <x v="70"/>
  </r>
  <r>
    <x v="248"/>
    <x v="181"/>
    <x v="146"/>
  </r>
  <r>
    <x v="249"/>
    <x v="173"/>
    <x v="138"/>
  </r>
  <r>
    <x v="250"/>
    <x v="182"/>
    <x v="147"/>
  </r>
  <r>
    <x v="251"/>
    <x v="183"/>
    <x v="104"/>
  </r>
  <r>
    <x v="252"/>
    <x v="142"/>
    <x v="107"/>
  </r>
  <r>
    <x v="253"/>
    <x v="184"/>
    <x v="148"/>
  </r>
  <r>
    <x v="254"/>
    <x v="185"/>
    <x v="149"/>
  </r>
  <r>
    <x v="255"/>
    <x v="186"/>
    <x v="150"/>
  </r>
  <r>
    <x v="256"/>
    <x v="187"/>
    <x v="151"/>
  </r>
  <r>
    <x v="257"/>
    <x v="188"/>
    <x v="152"/>
  </r>
  <r>
    <x v="258"/>
    <x v="189"/>
    <x v="153"/>
  </r>
  <r>
    <x v="259"/>
    <x v="174"/>
    <x v="139"/>
  </r>
  <r>
    <x v="260"/>
    <x v="189"/>
    <x v="153"/>
  </r>
  <r>
    <x v="261"/>
    <x v="189"/>
    <x v="153"/>
  </r>
  <r>
    <x v="262"/>
    <x v="190"/>
    <x v="141"/>
  </r>
  <r>
    <x v="263"/>
    <x v="189"/>
    <x v="153"/>
  </r>
  <r>
    <x v="264"/>
    <x v="191"/>
    <x v="108"/>
  </r>
  <r>
    <x v="265"/>
    <x v="185"/>
    <x v="149"/>
  </r>
  <r>
    <x v="266"/>
    <x v="192"/>
    <x v="137"/>
  </r>
  <r>
    <x v="267"/>
    <x v="193"/>
    <x v="154"/>
  </r>
  <r>
    <x v="268"/>
    <x v="182"/>
    <x v="147"/>
  </r>
  <r>
    <x v="269"/>
    <x v="194"/>
    <x v="155"/>
  </r>
  <r>
    <x v="270"/>
    <x v="195"/>
    <x v="156"/>
  </r>
  <r>
    <x v="271"/>
    <x v="196"/>
    <x v="121"/>
  </r>
  <r>
    <x v="272"/>
    <x v="146"/>
    <x v="111"/>
  </r>
  <r>
    <x v="273"/>
    <x v="159"/>
    <x v="124"/>
  </r>
  <r>
    <x v="274"/>
    <x v="194"/>
    <x v="155"/>
  </r>
  <r>
    <x v="275"/>
    <x v="197"/>
    <x v="157"/>
  </r>
  <r>
    <x v="276"/>
    <x v="198"/>
    <x v="158"/>
  </r>
  <r>
    <x v="277"/>
    <x v="190"/>
    <x v="141"/>
  </r>
  <r>
    <x v="278"/>
    <x v="194"/>
    <x v="155"/>
  </r>
  <r>
    <x v="279"/>
    <x v="190"/>
    <x v="141"/>
  </r>
  <r>
    <x v="280"/>
    <x v="189"/>
    <x v="153"/>
  </r>
  <r>
    <x v="281"/>
    <x v="189"/>
    <x v="153"/>
  </r>
  <r>
    <x v="282"/>
    <x v="199"/>
    <x v="159"/>
  </r>
  <r>
    <x v="283"/>
    <x v="200"/>
    <x v="129"/>
  </r>
  <r>
    <x v="284"/>
    <x v="200"/>
    <x v="129"/>
  </r>
  <r>
    <x v="285"/>
    <x v="200"/>
    <x v="129"/>
  </r>
  <r>
    <x v="286"/>
    <x v="201"/>
    <x v="132"/>
  </r>
  <r>
    <x v="287"/>
    <x v="202"/>
    <x v="137"/>
  </r>
  <r>
    <x v="288"/>
    <x v="179"/>
    <x v="144"/>
  </r>
  <r>
    <x v="289"/>
    <x v="196"/>
    <x v="121"/>
  </r>
  <r>
    <x v="290"/>
    <x v="196"/>
    <x v="121"/>
  </r>
  <r>
    <x v="291"/>
    <x v="198"/>
    <x v="158"/>
  </r>
  <r>
    <x v="292"/>
    <x v="203"/>
    <x v="123"/>
  </r>
  <r>
    <x v="293"/>
    <x v="203"/>
    <x v="123"/>
  </r>
  <r>
    <x v="294"/>
    <x v="185"/>
    <x v="149"/>
  </r>
  <r>
    <x v="295"/>
    <x v="186"/>
    <x v="150"/>
  </r>
  <r>
    <x v="296"/>
    <x v="204"/>
    <x v="146"/>
  </r>
  <r>
    <x v="297"/>
    <x v="138"/>
    <x v="105"/>
  </r>
  <r>
    <x v="298"/>
    <x v="193"/>
    <x v="154"/>
  </r>
  <r>
    <x v="299"/>
    <x v="193"/>
    <x v="154"/>
  </r>
  <r>
    <x v="300"/>
    <x v="205"/>
    <x v="125"/>
  </r>
  <r>
    <x v="301"/>
    <x v="205"/>
    <x v="125"/>
  </r>
  <r>
    <x v="302"/>
    <x v="199"/>
    <x v="159"/>
  </r>
  <r>
    <x v="303"/>
    <x v="206"/>
    <x v="134"/>
  </r>
  <r>
    <x v="304"/>
    <x v="207"/>
    <x v="160"/>
  </r>
  <r>
    <x v="305"/>
    <x v="208"/>
    <x v="161"/>
  </r>
  <r>
    <x v="306"/>
    <x v="209"/>
    <x v="162"/>
  </r>
  <r>
    <x v="307"/>
    <x v="198"/>
    <x v="158"/>
  </r>
  <r>
    <x v="308"/>
    <x v="187"/>
    <x v="151"/>
  </r>
  <r>
    <x v="309"/>
    <x v="210"/>
    <x v="163"/>
  </r>
  <r>
    <x v="310"/>
    <x v="210"/>
    <x v="163"/>
  </r>
  <r>
    <x v="311"/>
    <x v="211"/>
    <x v="164"/>
  </r>
  <r>
    <x v="312"/>
    <x v="173"/>
    <x v="138"/>
  </r>
  <r>
    <x v="313"/>
    <x v="194"/>
    <x v="155"/>
  </r>
  <r>
    <x v="314"/>
    <x v="212"/>
    <x v="124"/>
  </r>
  <r>
    <x v="315"/>
    <x v="213"/>
    <x v="165"/>
  </r>
  <r>
    <x v="316"/>
    <x v="214"/>
    <x v="166"/>
  </r>
  <r>
    <x v="317"/>
    <x v="215"/>
    <x v="167"/>
  </r>
  <r>
    <x v="318"/>
    <x v="216"/>
    <x v="168"/>
  </r>
  <r>
    <x v="319"/>
    <x v="217"/>
    <x v="169"/>
  </r>
  <r>
    <x v="320"/>
    <x v="218"/>
    <x v="170"/>
  </r>
  <r>
    <x v="321"/>
    <x v="219"/>
    <x v="171"/>
  </r>
  <r>
    <x v="322"/>
    <x v="220"/>
    <x v="72"/>
  </r>
  <r>
    <x v="323"/>
    <x v="221"/>
    <x v="172"/>
  </r>
  <r>
    <x v="324"/>
    <x v="222"/>
    <x v="173"/>
  </r>
  <r>
    <x v="325"/>
    <x v="223"/>
    <x v="72"/>
  </r>
  <r>
    <x v="326"/>
    <x v="224"/>
    <x v="174"/>
  </r>
  <r>
    <x v="327"/>
    <x v="225"/>
    <x v="1"/>
  </r>
  <r>
    <x v="328"/>
    <x v="226"/>
    <x v="175"/>
  </r>
  <r>
    <x v="329"/>
    <x v="227"/>
    <x v="72"/>
  </r>
  <r>
    <x v="330"/>
    <x v="228"/>
    <x v="15"/>
  </r>
  <r>
    <x v="331"/>
    <x v="229"/>
    <x v="15"/>
  </r>
  <r>
    <x v="332"/>
    <x v="230"/>
    <x v="176"/>
  </r>
  <r>
    <x v="333"/>
    <x v="231"/>
    <x v="177"/>
  </r>
  <r>
    <x v="334"/>
    <x v="232"/>
    <x v="178"/>
  </r>
  <r>
    <x v="335"/>
    <x v="233"/>
    <x v="179"/>
  </r>
  <r>
    <x v="336"/>
    <x v="234"/>
    <x v="180"/>
  </r>
  <r>
    <x v="337"/>
    <x v="235"/>
    <x v="181"/>
  </r>
  <r>
    <x v="338"/>
    <x v="87"/>
    <x v="66"/>
  </r>
  <r>
    <x v="339"/>
    <x v="236"/>
    <x v="182"/>
  </r>
  <r>
    <x v="340"/>
    <x v="237"/>
    <x v="183"/>
  </r>
  <r>
    <x v="341"/>
    <x v="238"/>
    <x v="184"/>
  </r>
  <r>
    <x v="342"/>
    <x v="239"/>
    <x v="185"/>
  </r>
  <r>
    <x v="343"/>
    <x v="240"/>
    <x v="186"/>
  </r>
  <r>
    <x v="344"/>
    <x v="241"/>
    <x v="187"/>
  </r>
  <r>
    <x v="345"/>
    <x v="242"/>
    <x v="188"/>
  </r>
  <r>
    <x v="346"/>
    <x v="233"/>
    <x v="179"/>
  </r>
  <r>
    <x v="347"/>
    <x v="234"/>
    <x v="180"/>
  </r>
  <r>
    <x v="348"/>
    <x v="241"/>
    <x v="187"/>
  </r>
  <r>
    <x v="349"/>
    <x v="243"/>
    <x v="181"/>
  </r>
  <r>
    <x v="350"/>
    <x v="242"/>
    <x v="188"/>
  </r>
  <r>
    <x v="351"/>
    <x v="239"/>
    <x v="185"/>
  </r>
  <r>
    <x v="352"/>
    <x v="237"/>
    <x v="183"/>
  </r>
  <r>
    <x v="353"/>
    <x v="244"/>
    <x v="184"/>
  </r>
  <r>
    <x v="354"/>
    <x v="245"/>
    <x v="189"/>
  </r>
  <r>
    <x v="355"/>
    <x v="246"/>
    <x v="184"/>
  </r>
  <r>
    <x v="356"/>
    <x v="242"/>
    <x v="188"/>
  </r>
  <r>
    <x v="357"/>
    <x v="245"/>
    <x v="189"/>
  </r>
  <r>
    <x v="358"/>
    <x v="235"/>
    <x v="181"/>
  </r>
  <r>
    <x v="359"/>
    <x v="247"/>
    <x v="190"/>
  </r>
  <r>
    <x v="360"/>
    <x v="248"/>
    <x v="183"/>
  </r>
  <r>
    <x v="361"/>
    <x v="216"/>
    <x v="168"/>
  </r>
  <r>
    <x v="362"/>
    <x v="249"/>
    <x v="168"/>
  </r>
  <r>
    <x v="363"/>
    <x v="250"/>
    <x v="191"/>
  </r>
  <r>
    <x v="364"/>
    <x v="251"/>
    <x v="178"/>
  </r>
  <r>
    <x v="365"/>
    <x v="252"/>
    <x v="192"/>
  </r>
  <r>
    <x v="366"/>
    <x v="252"/>
    <x v="192"/>
  </r>
  <r>
    <x v="367"/>
    <x v="252"/>
    <x v="192"/>
  </r>
  <r>
    <x v="368"/>
    <x v="87"/>
    <x v="66"/>
  </r>
  <r>
    <x v="369"/>
    <x v="87"/>
    <x v="66"/>
  </r>
  <r>
    <x v="370"/>
    <x v="253"/>
    <x v="185"/>
  </r>
  <r>
    <x v="371"/>
    <x v="254"/>
    <x v="180"/>
  </r>
  <r>
    <x v="372"/>
    <x v="255"/>
    <x v="72"/>
  </r>
  <r>
    <x v="373"/>
    <x v="256"/>
    <x v="193"/>
  </r>
  <r>
    <x v="374"/>
    <x v="256"/>
    <x v="193"/>
  </r>
  <r>
    <x v="375"/>
    <x v="256"/>
    <x v="193"/>
  </r>
  <r>
    <x v="376"/>
    <x v="256"/>
    <x v="194"/>
  </r>
  <r>
    <x v="377"/>
    <x v="242"/>
    <x v="188"/>
  </r>
  <r>
    <x v="378"/>
    <x v="257"/>
    <x v="181"/>
  </r>
  <r>
    <x v="379"/>
    <x v="253"/>
    <x v="185"/>
  </r>
  <r>
    <x v="380"/>
    <x v="258"/>
    <x v="195"/>
  </r>
  <r>
    <x v="381"/>
    <x v="258"/>
    <x v="195"/>
  </r>
  <r>
    <x v="382"/>
    <x v="258"/>
    <x v="195"/>
  </r>
  <r>
    <x v="383"/>
    <x v="257"/>
    <x v="181"/>
  </r>
  <r>
    <x v="384"/>
    <x v="249"/>
    <x v="168"/>
  </r>
  <r>
    <x v="385"/>
    <x v="256"/>
    <x v="193"/>
  </r>
  <r>
    <x v="386"/>
    <x v="259"/>
    <x v="196"/>
  </r>
  <r>
    <x v="387"/>
    <x v="259"/>
    <x v="196"/>
  </r>
  <r>
    <x v="388"/>
    <x v="249"/>
    <x v="168"/>
  </r>
  <r>
    <x v="389"/>
    <x v="247"/>
    <x v="190"/>
  </r>
  <r>
    <x v="390"/>
    <x v="251"/>
    <x v="178"/>
  </r>
  <r>
    <x v="391"/>
    <x v="259"/>
    <x v="196"/>
  </r>
  <r>
    <x v="392"/>
    <x v="260"/>
    <x v="197"/>
  </r>
  <r>
    <x v="393"/>
    <x v="261"/>
    <x v="198"/>
  </r>
  <r>
    <x v="394"/>
    <x v="262"/>
    <x v="199"/>
  </r>
  <r>
    <x v="395"/>
    <x v="263"/>
    <x v="200"/>
  </r>
  <r>
    <x v="396"/>
    <x v="264"/>
    <x v="201"/>
  </r>
  <r>
    <x v="397"/>
    <x v="265"/>
    <x v="202"/>
  </r>
  <r>
    <x v="398"/>
    <x v="266"/>
    <x v="203"/>
  </r>
  <r>
    <x v="399"/>
    <x v="267"/>
    <x v="204"/>
  </r>
  <r>
    <x v="400"/>
    <x v="255"/>
    <x v="72"/>
  </r>
  <r>
    <x v="401"/>
    <x v="268"/>
    <x v="205"/>
  </r>
  <r>
    <x v="402"/>
    <x v="269"/>
    <x v="206"/>
  </r>
  <r>
    <x v="403"/>
    <x v="270"/>
    <x v="207"/>
  </r>
  <r>
    <x v="404"/>
    <x v="271"/>
    <x v="208"/>
  </r>
  <r>
    <x v="405"/>
    <x v="272"/>
    <x v="209"/>
  </r>
  <r>
    <x v="406"/>
    <x v="273"/>
    <x v="210"/>
  </r>
  <r>
    <x v="407"/>
    <x v="274"/>
    <x v="211"/>
  </r>
  <r>
    <x v="408"/>
    <x v="275"/>
    <x v="1"/>
  </r>
  <r>
    <x v="409"/>
    <x v="276"/>
    <x v="212"/>
  </r>
  <r>
    <x v="410"/>
    <x v="277"/>
    <x v="213"/>
  </r>
  <r>
    <x v="411"/>
    <x v="278"/>
    <x v="214"/>
  </r>
  <r>
    <x v="412"/>
    <x v="279"/>
    <x v="215"/>
  </r>
  <r>
    <x v="413"/>
    <x v="280"/>
    <x v="216"/>
  </r>
  <r>
    <x v="414"/>
    <x v="281"/>
    <x v="217"/>
  </r>
  <r>
    <x v="415"/>
    <x v="282"/>
    <x v="218"/>
  </r>
  <r>
    <x v="416"/>
    <x v="283"/>
    <x v="219"/>
  </r>
  <r>
    <x v="417"/>
    <x v="284"/>
    <x v="220"/>
  </r>
  <r>
    <x v="418"/>
    <x v="285"/>
    <x v="221"/>
  </r>
  <r>
    <x v="419"/>
    <x v="286"/>
    <x v="222"/>
  </r>
  <r>
    <x v="420"/>
    <x v="287"/>
    <x v="223"/>
  </r>
  <r>
    <x v="421"/>
    <x v="288"/>
    <x v="224"/>
  </r>
  <r>
    <x v="422"/>
    <x v="289"/>
    <x v="225"/>
  </r>
  <r>
    <x v="423"/>
    <x v="290"/>
    <x v="226"/>
  </r>
  <r>
    <x v="424"/>
    <x v="291"/>
    <x v="227"/>
  </r>
  <r>
    <x v="425"/>
    <x v="292"/>
    <x v="228"/>
  </r>
  <r>
    <x v="426"/>
    <x v="293"/>
    <x v="229"/>
  </r>
  <r>
    <x v="427"/>
    <x v="294"/>
    <x v="230"/>
  </r>
  <r>
    <x v="428"/>
    <x v="295"/>
    <x v="231"/>
  </r>
  <r>
    <x v="429"/>
    <x v="296"/>
    <x v="232"/>
  </r>
  <r>
    <x v="430"/>
    <x v="297"/>
    <x v="233"/>
  </r>
  <r>
    <x v="431"/>
    <x v="298"/>
    <x v="234"/>
  </r>
  <r>
    <x v="432"/>
    <x v="299"/>
    <x v="235"/>
  </r>
  <r>
    <x v="433"/>
    <x v="300"/>
    <x v="236"/>
  </r>
  <r>
    <x v="434"/>
    <x v="301"/>
    <x v="237"/>
  </r>
  <r>
    <x v="435"/>
    <x v="302"/>
    <x v="238"/>
  </r>
  <r>
    <x v="436"/>
    <x v="303"/>
    <x v="239"/>
  </r>
  <r>
    <x v="437"/>
    <x v="304"/>
    <x v="240"/>
  </r>
  <r>
    <x v="438"/>
    <x v="305"/>
    <x v="241"/>
  </r>
  <r>
    <x v="439"/>
    <x v="306"/>
    <x v="242"/>
  </r>
  <r>
    <x v="440"/>
    <x v="307"/>
    <x v="243"/>
  </r>
  <r>
    <x v="441"/>
    <x v="308"/>
    <x v="244"/>
  </r>
  <r>
    <x v="442"/>
    <x v="309"/>
    <x v="245"/>
  </r>
  <r>
    <x v="443"/>
    <x v="310"/>
    <x v="246"/>
  </r>
  <r>
    <x v="444"/>
    <x v="311"/>
    <x v="247"/>
  </r>
  <r>
    <x v="445"/>
    <x v="312"/>
    <x v="248"/>
  </r>
  <r>
    <x v="446"/>
    <x v="313"/>
    <x v="249"/>
  </r>
  <r>
    <x v="447"/>
    <x v="314"/>
    <x v="250"/>
  </r>
  <r>
    <x v="448"/>
    <x v="315"/>
    <x v="251"/>
  </r>
  <r>
    <x v="449"/>
    <x v="316"/>
    <x v="252"/>
  </r>
  <r>
    <x v="450"/>
    <x v="317"/>
    <x v="253"/>
  </r>
  <r>
    <x v="451"/>
    <x v="318"/>
    <x v="254"/>
  </r>
  <r>
    <x v="452"/>
    <x v="319"/>
    <x v="255"/>
  </r>
  <r>
    <x v="453"/>
    <x v="320"/>
    <x v="256"/>
  </r>
  <r>
    <x v="454"/>
    <x v="321"/>
    <x v="257"/>
  </r>
  <r>
    <x v="455"/>
    <x v="322"/>
    <x v="258"/>
  </r>
  <r>
    <x v="456"/>
    <x v="323"/>
    <x v="259"/>
  </r>
  <r>
    <x v="457"/>
    <x v="324"/>
    <x v="260"/>
  </r>
  <r>
    <x v="458"/>
    <x v="325"/>
    <x v="261"/>
  </r>
  <r>
    <x v="459"/>
    <x v="326"/>
    <x v="262"/>
  </r>
  <r>
    <x v="460"/>
    <x v="327"/>
    <x v="263"/>
  </r>
  <r>
    <x v="461"/>
    <x v="328"/>
    <x v="264"/>
  </r>
  <r>
    <x v="462"/>
    <x v="141"/>
    <x v="96"/>
  </r>
  <r>
    <x v="463"/>
    <x v="329"/>
    <x v="2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D81D0-D88B-4998-B749-08D9F5B9EE2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B271" firstHeaderRow="2" firstDataRow="2" firstDataCol="1"/>
  <pivotFields count="3">
    <pivotField dataField="1" compact="0" outline="0" showAll="0" defaultSubtotal="0">
      <items count="4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61"/>
        <item x="37"/>
        <item x="38"/>
        <item x="463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45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4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62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56"/>
        <item x="437"/>
        <item x="438"/>
        <item x="439"/>
        <item x="457"/>
        <item x="458"/>
        <item x="459"/>
        <item x="440"/>
        <item x="441"/>
        <item x="442"/>
        <item x="443"/>
        <item x="444"/>
        <item x="445"/>
        <item x="460"/>
        <item x="446"/>
        <item x="447"/>
        <item x="448"/>
        <item x="449"/>
        <item x="450"/>
        <item x="451"/>
        <item x="452"/>
        <item x="453"/>
      </items>
    </pivotField>
    <pivotField compact="0" outline="0" showAll="0">
      <items count="331">
        <item x="14"/>
        <item x="93"/>
        <item x="66"/>
        <item x="180"/>
        <item x="46"/>
        <item x="6"/>
        <item x="188"/>
        <item x="88"/>
        <item x="219"/>
        <item x="43"/>
        <item x="90"/>
        <item x="103"/>
        <item x="95"/>
        <item x="250"/>
        <item x="64"/>
        <item x="285"/>
        <item x="0"/>
        <item x="37"/>
        <item x="141"/>
        <item x="125"/>
        <item x="179"/>
        <item x="177"/>
        <item x="231"/>
        <item x="207"/>
        <item x="235"/>
        <item x="257"/>
        <item x="243"/>
        <item x="197"/>
        <item x="211"/>
        <item x="270"/>
        <item x="293"/>
        <item x="155"/>
        <item x="45"/>
        <item x="70"/>
        <item x="78"/>
        <item x="159"/>
        <item x="212"/>
        <item x="153"/>
        <item x="268"/>
        <item x="252"/>
        <item x="245"/>
        <item x="57"/>
        <item x="181"/>
        <item x="204"/>
        <item x="253"/>
        <item x="239"/>
        <item x="287"/>
        <item x="39"/>
        <item x="74"/>
        <item x="170"/>
        <item x="178"/>
        <item x="38"/>
        <item x="259"/>
        <item x="198"/>
        <item x="110"/>
        <item x="109"/>
        <item x="210"/>
        <item x="173"/>
        <item x="187"/>
        <item x="144"/>
        <item x="241"/>
        <item x="139"/>
        <item x="291"/>
        <item x="87"/>
        <item x="218"/>
        <item x="172"/>
        <item x="202"/>
        <item x="217"/>
        <item x="51"/>
        <item x="124"/>
        <item x="10"/>
        <item x="135"/>
        <item x="123"/>
        <item x="76"/>
        <item x="119"/>
        <item x="289"/>
        <item x="286"/>
        <item x="190"/>
        <item x="176"/>
        <item x="142"/>
        <item x="63"/>
        <item x="106"/>
        <item x="149"/>
        <item x="233"/>
        <item x="73"/>
        <item x="111"/>
        <item x="72"/>
        <item x="311"/>
        <item x="195"/>
        <item x="189"/>
        <item x="185"/>
        <item x="13"/>
        <item x="44"/>
        <item x="71"/>
        <item x="62"/>
        <item x="199"/>
        <item x="215"/>
        <item x="126"/>
        <item x="1"/>
        <item x="3"/>
        <item x="4"/>
        <item x="275"/>
        <item x="121"/>
        <item x="225"/>
        <item x="89"/>
        <item x="58"/>
        <item x="242"/>
        <item x="266"/>
        <item x="265"/>
        <item x="61"/>
        <item x="298"/>
        <item x="297"/>
        <item x="134"/>
        <item x="319"/>
        <item x="278"/>
        <item x="175"/>
        <item x="196"/>
        <item x="156"/>
        <item x="200"/>
        <item x="85"/>
        <item x="164"/>
        <item x="128"/>
        <item x="127"/>
        <item x="296"/>
        <item x="116"/>
        <item x="161"/>
        <item x="279"/>
        <item x="264"/>
        <item x="104"/>
        <item x="209"/>
        <item x="223"/>
        <item x="220"/>
        <item x="227"/>
        <item x="258"/>
        <item x="138"/>
        <item x="267"/>
        <item x="129"/>
        <item x="294"/>
        <item x="83"/>
        <item x="117"/>
        <item x="230"/>
        <item x="25"/>
        <item x="33"/>
        <item x="34"/>
        <item x="168"/>
        <item x="300"/>
        <item x="7"/>
        <item x="81"/>
        <item x="12"/>
        <item x="301"/>
        <item x="282"/>
        <item x="269"/>
        <item x="42"/>
        <item x="147"/>
        <item x="22"/>
        <item x="17"/>
        <item x="5"/>
        <item x="18"/>
        <item x="174"/>
        <item x="53"/>
        <item x="28"/>
        <item x="154"/>
        <item x="248"/>
        <item x="237"/>
        <item x="158"/>
        <item x="203"/>
        <item x="304"/>
        <item x="272"/>
        <item x="308"/>
        <item x="299"/>
        <item x="295"/>
        <item x="226"/>
        <item x="157"/>
        <item x="186"/>
        <item x="312"/>
        <item x="130"/>
        <item x="228"/>
        <item x="131"/>
        <item x="229"/>
        <item x="21"/>
        <item x="20"/>
        <item x="284"/>
        <item x="184"/>
        <item x="105"/>
        <item x="271"/>
        <item x="288"/>
        <item x="316"/>
        <item x="274"/>
        <item x="307"/>
        <item x="302"/>
        <item x="303"/>
        <item x="323"/>
        <item x="324"/>
        <item x="325"/>
        <item x="306"/>
        <item x="305"/>
        <item x="326"/>
        <item x="327"/>
        <item x="313"/>
        <item x="314"/>
        <item x="320"/>
        <item x="69"/>
        <item x="317"/>
        <item x="309"/>
        <item x="254"/>
        <item x="234"/>
        <item x="224"/>
        <item x="27"/>
        <item x="79"/>
        <item x="292"/>
        <item x="136"/>
        <item x="163"/>
        <item x="240"/>
        <item x="251"/>
        <item x="232"/>
        <item x="191"/>
        <item x="160"/>
        <item x="194"/>
        <item x="54"/>
        <item x="205"/>
        <item x="193"/>
        <item x="216"/>
        <item x="249"/>
        <item x="143"/>
        <item x="169"/>
        <item x="206"/>
        <item x="100"/>
        <item x="65"/>
        <item x="201"/>
        <item x="167"/>
        <item x="150"/>
        <item x="91"/>
        <item x="98"/>
        <item x="107"/>
        <item x="222"/>
        <item x="32"/>
        <item x="247"/>
        <item x="56"/>
        <item x="23"/>
        <item x="214"/>
        <item x="280"/>
        <item x="35"/>
        <item x="52"/>
        <item x="24"/>
        <item x="80"/>
        <item x="82"/>
        <item x="60"/>
        <item x="59"/>
        <item x="329"/>
        <item x="182"/>
        <item x="281"/>
        <item x="165"/>
        <item x="84"/>
        <item x="152"/>
        <item x="30"/>
        <item x="213"/>
        <item x="55"/>
        <item x="11"/>
        <item x="67"/>
        <item x="108"/>
        <item x="145"/>
        <item x="50"/>
        <item x="26"/>
        <item x="151"/>
        <item x="238"/>
        <item x="246"/>
        <item x="244"/>
        <item x="96"/>
        <item x="29"/>
        <item x="221"/>
        <item x="19"/>
        <item x="31"/>
        <item x="15"/>
        <item x="2"/>
        <item x="113"/>
        <item x="77"/>
        <item x="101"/>
        <item x="68"/>
        <item x="166"/>
        <item x="322"/>
        <item x="171"/>
        <item x="277"/>
        <item x="276"/>
        <item x="315"/>
        <item x="310"/>
        <item x="49"/>
        <item x="120"/>
        <item x="148"/>
        <item x="318"/>
        <item x="183"/>
        <item x="137"/>
        <item x="99"/>
        <item x="273"/>
        <item x="140"/>
        <item x="92"/>
        <item x="9"/>
        <item x="321"/>
        <item x="283"/>
        <item x="8"/>
        <item x="115"/>
        <item x="97"/>
        <item x="86"/>
        <item x="162"/>
        <item x="112"/>
        <item x="94"/>
        <item x="255"/>
        <item x="146"/>
        <item x="47"/>
        <item x="48"/>
        <item x="118"/>
        <item x="290"/>
        <item x="260"/>
        <item x="261"/>
        <item x="263"/>
        <item x="262"/>
        <item x="328"/>
        <item x="41"/>
        <item x="236"/>
        <item x="208"/>
        <item x="122"/>
        <item x="36"/>
        <item x="132"/>
        <item x="102"/>
        <item x="16"/>
        <item x="133"/>
        <item x="40"/>
        <item x="256"/>
        <item x="75"/>
        <item x="192"/>
        <item x="114"/>
        <item t="default"/>
      </items>
    </pivotField>
    <pivotField axis="axisRow" compact="0" outline="0" showAll="0" sortType="descending" defaultSubtotal="0">
      <items count="266">
        <item x="1"/>
        <item x="15"/>
        <item x="0"/>
        <item x="68"/>
        <item x="2"/>
        <item x="3"/>
        <item x="4"/>
        <item x="5"/>
        <item x="6"/>
        <item x="209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4"/>
        <item x="26"/>
        <item x="26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2"/>
        <item x="64"/>
        <item x="65"/>
        <item x="67"/>
        <item x="69"/>
        <item x="71"/>
        <item x="73"/>
        <item x="74"/>
        <item x="75"/>
        <item x="76"/>
        <item x="257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25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70"/>
        <item x="103"/>
        <item x="146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32"/>
        <item x="125"/>
        <item x="126"/>
        <item x="127"/>
        <item x="128"/>
        <item x="129"/>
        <item x="130"/>
        <item x="131"/>
        <item x="123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72"/>
        <item x="172"/>
        <item x="173"/>
        <item x="174"/>
        <item x="175"/>
        <item x="176"/>
        <item x="177"/>
        <item x="178"/>
        <item x="179"/>
        <item x="180"/>
        <item x="181"/>
        <item x="6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25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59"/>
        <item x="240"/>
        <item x="241"/>
        <item x="242"/>
        <item x="260"/>
        <item x="261"/>
        <item x="262"/>
        <item x="243"/>
        <item x="244"/>
        <item x="245"/>
        <item x="246"/>
        <item x="247"/>
        <item x="248"/>
        <item x="263"/>
        <item x="249"/>
        <item x="250"/>
        <item x="251"/>
        <item x="252"/>
        <item x="253"/>
        <item x="254"/>
        <item x="255"/>
        <item x="25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67">
    <i>
      <x v="4"/>
    </i>
    <i>
      <x v="1"/>
    </i>
    <i>
      <x/>
    </i>
    <i>
      <x v="2"/>
    </i>
    <i>
      <x v="175"/>
    </i>
    <i>
      <x v="156"/>
    </i>
    <i>
      <x v="185"/>
    </i>
    <i>
      <x v="171"/>
    </i>
    <i>
      <x v="125"/>
    </i>
    <i>
      <x v="186"/>
    </i>
    <i>
      <x v="158"/>
    </i>
    <i>
      <x v="145"/>
    </i>
    <i>
      <x v="109"/>
    </i>
    <i>
      <x v="36"/>
    </i>
    <i>
      <x v="198"/>
    </i>
    <i>
      <x v="63"/>
    </i>
    <i>
      <x v="193"/>
    </i>
    <i>
      <x v="14"/>
    </i>
    <i>
      <x v="127"/>
    </i>
    <i>
      <x v="20"/>
    </i>
    <i>
      <x v="129"/>
    </i>
    <i>
      <x v="57"/>
    </i>
    <i>
      <x v="13"/>
    </i>
    <i>
      <x v="190"/>
    </i>
    <i>
      <x v="133"/>
    </i>
    <i>
      <x v="136"/>
    </i>
    <i>
      <x v="115"/>
    </i>
    <i>
      <x v="34"/>
    </i>
    <i>
      <x v="200"/>
    </i>
    <i>
      <x v="112"/>
    </i>
    <i>
      <x v="60"/>
    </i>
    <i>
      <x v="161"/>
    </i>
    <i>
      <x v="62"/>
    </i>
    <i>
      <x v="184"/>
    </i>
    <i>
      <x v="33"/>
    </i>
    <i>
      <x v="189"/>
    </i>
    <i>
      <x v="66"/>
    </i>
    <i>
      <x v="3"/>
    </i>
    <i>
      <x v="67"/>
    </i>
    <i>
      <x v="108"/>
    </i>
    <i>
      <x v="141"/>
    </i>
    <i>
      <x v="182"/>
    </i>
    <i>
      <x v="142"/>
    </i>
    <i>
      <x v="111"/>
    </i>
    <i>
      <x v="85"/>
    </i>
    <i>
      <x v="188"/>
    </i>
    <i>
      <x v="152"/>
    </i>
    <i>
      <x v="5"/>
    </i>
    <i>
      <x v="98"/>
    </i>
    <i>
      <x v="197"/>
    </i>
    <i>
      <x v="157"/>
    </i>
    <i>
      <x v="105"/>
    </i>
    <i>
      <x v="201"/>
    </i>
    <i>
      <x v="122"/>
    </i>
    <i>
      <x v="132"/>
    </i>
    <i>
      <x v="166"/>
    </i>
    <i>
      <x v="148"/>
    </i>
    <i>
      <x v="195"/>
    </i>
    <i>
      <x v="65"/>
    </i>
    <i>
      <x v="37"/>
    </i>
    <i>
      <x v="16"/>
    </i>
    <i>
      <x v="49"/>
    </i>
    <i>
      <x v="76"/>
    </i>
    <i>
      <x v="138"/>
    </i>
    <i>
      <x v="86"/>
    </i>
    <i>
      <x v="153"/>
    </i>
    <i>
      <x v="88"/>
    </i>
    <i>
      <x v="55"/>
    </i>
    <i>
      <x v="89"/>
    </i>
    <i>
      <x v="183"/>
    </i>
    <i>
      <x v="99"/>
    </i>
    <i>
      <x v="50"/>
    </i>
    <i>
      <x v="101"/>
    </i>
    <i>
      <x v="53"/>
    </i>
    <i>
      <x v="103"/>
    </i>
    <i>
      <x v="143"/>
    </i>
    <i>
      <x v="107"/>
    </i>
    <i>
      <x v="150"/>
    </i>
    <i>
      <x v="113"/>
    </i>
    <i>
      <x v="154"/>
    </i>
    <i>
      <x v="119"/>
    </i>
    <i>
      <x v="38"/>
    </i>
    <i>
      <x v="120"/>
    </i>
    <i>
      <x v="162"/>
    </i>
    <i>
      <x v="121"/>
    </i>
    <i>
      <x v="41"/>
    </i>
    <i>
      <x v="123"/>
    </i>
    <i>
      <x v="44"/>
    </i>
    <i>
      <x v="126"/>
    </i>
    <i>
      <x v="192"/>
    </i>
    <i>
      <x v="128"/>
    </i>
    <i>
      <x v="194"/>
    </i>
    <i>
      <x v="29"/>
    </i>
    <i>
      <x v="52"/>
    </i>
    <i>
      <x v="130"/>
    </i>
    <i>
      <x v="31"/>
    </i>
    <i>
      <x v="39"/>
    </i>
    <i>
      <x v="224"/>
    </i>
    <i>
      <x v="91"/>
    </i>
    <i>
      <x v="256"/>
    </i>
    <i>
      <x v="19"/>
    </i>
    <i>
      <x v="208"/>
    </i>
    <i>
      <x v="7"/>
    </i>
    <i>
      <x v="240"/>
    </i>
    <i>
      <x v="100"/>
    </i>
    <i>
      <x v="61"/>
    </i>
    <i>
      <x v="15"/>
    </i>
    <i>
      <x v="96"/>
    </i>
    <i>
      <x v="102"/>
    </i>
    <i>
      <x v="216"/>
    </i>
    <i>
      <x v="64"/>
    </i>
    <i>
      <x v="232"/>
    </i>
    <i>
      <x v="104"/>
    </i>
    <i>
      <x v="248"/>
    </i>
    <i>
      <x v="8"/>
    </i>
    <i>
      <x v="180"/>
    </i>
    <i>
      <x v="106"/>
    </i>
    <i>
      <x v="47"/>
    </i>
    <i>
      <x v="56"/>
    </i>
    <i>
      <x v="196"/>
    </i>
    <i>
      <x v="21"/>
    </i>
    <i>
      <x v="204"/>
    </i>
    <i>
      <x v="22"/>
    </i>
    <i>
      <x v="212"/>
    </i>
    <i>
      <x v="110"/>
    </i>
    <i>
      <x v="220"/>
    </i>
    <i>
      <x v="23"/>
    </i>
    <i>
      <x v="228"/>
    </i>
    <i>
      <x v="24"/>
    </i>
    <i>
      <x v="236"/>
    </i>
    <i>
      <x v="12"/>
    </i>
    <i>
      <x v="244"/>
    </i>
    <i>
      <x v="114"/>
    </i>
    <i>
      <x v="252"/>
    </i>
    <i>
      <x v="25"/>
    </i>
    <i>
      <x v="260"/>
    </i>
    <i>
      <x v="116"/>
    </i>
    <i>
      <x v="43"/>
    </i>
    <i>
      <x v="117"/>
    </i>
    <i>
      <x v="46"/>
    </i>
    <i>
      <x v="118"/>
    </i>
    <i>
      <x v="90"/>
    </i>
    <i>
      <x v="17"/>
    </i>
    <i>
      <x v="93"/>
    </i>
    <i>
      <x v="68"/>
    </i>
    <i>
      <x v="95"/>
    </i>
    <i>
      <x v="69"/>
    </i>
    <i>
      <x v="202"/>
    </i>
    <i>
      <x v="26"/>
    </i>
    <i>
      <x v="206"/>
    </i>
    <i>
      <x v="70"/>
    </i>
    <i>
      <x v="210"/>
    </i>
    <i>
      <x v="124"/>
    </i>
    <i>
      <x v="214"/>
    </i>
    <i>
      <x v="27"/>
    </i>
    <i>
      <x v="218"/>
    </i>
    <i>
      <x v="71"/>
    </i>
    <i>
      <x v="222"/>
    </i>
    <i>
      <x v="28"/>
    </i>
    <i>
      <x v="226"/>
    </i>
    <i>
      <x v="72"/>
    </i>
    <i>
      <x v="230"/>
    </i>
    <i>
      <x v="73"/>
    </i>
    <i>
      <x v="234"/>
    </i>
    <i>
      <x v="74"/>
    </i>
    <i>
      <x v="238"/>
    </i>
    <i>
      <x v="131"/>
    </i>
    <i>
      <x v="242"/>
    </i>
    <i>
      <x v="30"/>
    </i>
    <i>
      <x v="246"/>
    </i>
    <i>
      <x v="75"/>
    </i>
    <i>
      <x v="250"/>
    </i>
    <i>
      <x v="134"/>
    </i>
    <i>
      <x v="254"/>
    </i>
    <i>
      <x v="135"/>
    </i>
    <i>
      <x v="258"/>
    </i>
    <i>
      <x v="32"/>
    </i>
    <i>
      <x v="262"/>
    </i>
    <i>
      <x v="137"/>
    </i>
    <i>
      <x v="181"/>
    </i>
    <i>
      <x v="58"/>
    </i>
    <i>
      <x v="6"/>
    </i>
    <i>
      <x v="139"/>
    </i>
    <i>
      <x v="45"/>
    </i>
    <i>
      <x v="140"/>
    </i>
    <i>
      <x v="187"/>
    </i>
    <i>
      <x v="9"/>
    </i>
    <i>
      <x v="48"/>
    </i>
    <i>
      <x v="10"/>
    </i>
    <i>
      <x v="191"/>
    </i>
    <i>
      <x v="77"/>
    </i>
    <i>
      <x v="92"/>
    </i>
    <i>
      <x v="144"/>
    </i>
    <i>
      <x v="94"/>
    </i>
    <i>
      <x v="35"/>
    </i>
    <i>
      <x v="51"/>
    </i>
    <i>
      <x v="146"/>
    </i>
    <i>
      <x v="199"/>
    </i>
    <i>
      <x v="147"/>
    </i>
    <i>
      <x v="54"/>
    </i>
    <i>
      <x v="78"/>
    </i>
    <i>
      <x v="203"/>
    </i>
    <i>
      <x v="149"/>
    </i>
    <i>
      <x v="205"/>
    </i>
    <i>
      <x v="79"/>
    </i>
    <i>
      <x v="207"/>
    </i>
    <i>
      <x v="151"/>
    </i>
    <i>
      <x v="209"/>
    </i>
    <i>
      <x v="11"/>
    </i>
    <i>
      <x v="211"/>
    </i>
    <i>
      <x v="80"/>
    </i>
    <i>
      <x v="213"/>
    </i>
    <i>
      <x v="81"/>
    </i>
    <i>
      <x v="215"/>
    </i>
    <i>
      <x v="155"/>
    </i>
    <i>
      <x v="217"/>
    </i>
    <i>
      <x v="82"/>
    </i>
    <i>
      <x v="219"/>
    </i>
    <i>
      <x v="83"/>
    </i>
    <i>
      <x v="221"/>
    </i>
    <i>
      <x v="263"/>
    </i>
    <i>
      <x v="223"/>
    </i>
    <i>
      <x v="264"/>
    </i>
    <i>
      <x v="225"/>
    </i>
    <i>
      <x v="84"/>
    </i>
    <i>
      <x v="227"/>
    </i>
    <i>
      <x v="40"/>
    </i>
    <i>
      <x v="229"/>
    </i>
    <i>
      <x v="18"/>
    </i>
    <i>
      <x v="231"/>
    </i>
    <i>
      <x v="163"/>
    </i>
    <i>
      <x v="233"/>
    </i>
    <i>
      <x v="164"/>
    </i>
    <i>
      <x v="235"/>
    </i>
    <i>
      <x v="165"/>
    </i>
    <i>
      <x v="237"/>
    </i>
    <i>
      <x v="59"/>
    </i>
    <i>
      <x v="239"/>
    </i>
    <i>
      <x v="167"/>
    </i>
    <i>
      <x v="241"/>
    </i>
    <i>
      <x v="168"/>
    </i>
    <i>
      <x v="243"/>
    </i>
    <i>
      <x v="169"/>
    </i>
    <i>
      <x v="245"/>
    </i>
    <i>
      <x v="170"/>
    </i>
    <i>
      <x v="247"/>
    </i>
    <i>
      <x v="87"/>
    </i>
    <i>
      <x v="249"/>
    </i>
    <i>
      <x v="172"/>
    </i>
    <i>
      <x v="251"/>
    </i>
    <i>
      <x v="173"/>
    </i>
    <i>
      <x v="253"/>
    </i>
    <i>
      <x v="174"/>
    </i>
    <i>
      <x v="255"/>
    </i>
    <i>
      <x v="42"/>
    </i>
    <i>
      <x v="257"/>
    </i>
    <i>
      <x v="176"/>
    </i>
    <i>
      <x v="259"/>
    </i>
    <i>
      <x v="177"/>
    </i>
    <i>
      <x v="261"/>
    </i>
    <i>
      <x v="178"/>
    </i>
    <i>
      <x v="97"/>
    </i>
    <i>
      <x v="179"/>
    </i>
    <i>
      <x v="265"/>
    </i>
    <i>
      <x v="159"/>
    </i>
    <i>
      <x v="160"/>
    </i>
    <i t="grand">
      <x/>
    </i>
  </rowItems>
  <colItems count="1">
    <i/>
  </colItems>
  <dataFields count="1">
    <dataField name="Count of Customer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69A79-CE88-45F2-BB4B-6D2A3F07217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C337" firstHeaderRow="2" firstDataRow="2" firstDataCol="2"/>
  <pivotFields count="3">
    <pivotField compact="0" outline="0" showAll="0" defaultSubtotal="0">
      <items count="4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61"/>
        <item x="37"/>
        <item x="38"/>
        <item x="463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45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4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62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56"/>
        <item x="437"/>
        <item x="438"/>
        <item x="439"/>
        <item x="457"/>
        <item x="458"/>
        <item x="459"/>
        <item x="440"/>
        <item x="441"/>
        <item x="442"/>
        <item x="443"/>
        <item x="444"/>
        <item x="445"/>
        <item x="460"/>
        <item x="446"/>
        <item x="447"/>
        <item x="448"/>
        <item x="449"/>
        <item x="450"/>
        <item x="451"/>
        <item x="452"/>
        <item x="453"/>
      </items>
    </pivotField>
    <pivotField axis="axisRow" dataField="1" compact="0" outline="0" showAll="0" sortType="descending">
      <items count="331">
        <item x="14"/>
        <item x="93"/>
        <item x="66"/>
        <item x="180"/>
        <item x="46"/>
        <item x="6"/>
        <item x="188"/>
        <item x="88"/>
        <item x="219"/>
        <item x="43"/>
        <item x="90"/>
        <item x="103"/>
        <item x="95"/>
        <item x="250"/>
        <item x="64"/>
        <item x="285"/>
        <item x="0"/>
        <item x="37"/>
        <item x="141"/>
        <item x="125"/>
        <item x="179"/>
        <item x="177"/>
        <item x="231"/>
        <item x="207"/>
        <item x="235"/>
        <item x="257"/>
        <item x="243"/>
        <item x="197"/>
        <item x="211"/>
        <item x="270"/>
        <item x="293"/>
        <item x="155"/>
        <item x="45"/>
        <item x="70"/>
        <item x="78"/>
        <item x="159"/>
        <item x="212"/>
        <item x="153"/>
        <item x="268"/>
        <item x="252"/>
        <item x="245"/>
        <item x="57"/>
        <item x="181"/>
        <item x="204"/>
        <item x="253"/>
        <item x="239"/>
        <item x="287"/>
        <item x="39"/>
        <item x="74"/>
        <item x="170"/>
        <item x="178"/>
        <item x="38"/>
        <item x="259"/>
        <item x="198"/>
        <item x="110"/>
        <item x="109"/>
        <item x="210"/>
        <item x="173"/>
        <item x="187"/>
        <item x="144"/>
        <item x="241"/>
        <item x="139"/>
        <item x="291"/>
        <item x="87"/>
        <item x="218"/>
        <item x="172"/>
        <item x="202"/>
        <item x="217"/>
        <item x="51"/>
        <item x="124"/>
        <item x="10"/>
        <item x="135"/>
        <item x="123"/>
        <item x="76"/>
        <item x="119"/>
        <item x="289"/>
        <item x="286"/>
        <item x="190"/>
        <item x="176"/>
        <item x="142"/>
        <item x="63"/>
        <item x="106"/>
        <item x="149"/>
        <item x="233"/>
        <item x="73"/>
        <item x="111"/>
        <item x="72"/>
        <item x="311"/>
        <item x="195"/>
        <item x="189"/>
        <item x="185"/>
        <item x="13"/>
        <item x="44"/>
        <item x="71"/>
        <item x="62"/>
        <item x="199"/>
        <item x="215"/>
        <item x="126"/>
        <item x="1"/>
        <item x="3"/>
        <item x="4"/>
        <item x="275"/>
        <item x="121"/>
        <item x="225"/>
        <item x="89"/>
        <item x="58"/>
        <item x="242"/>
        <item x="266"/>
        <item x="265"/>
        <item x="61"/>
        <item x="298"/>
        <item x="297"/>
        <item x="134"/>
        <item x="319"/>
        <item x="278"/>
        <item x="175"/>
        <item x="196"/>
        <item x="156"/>
        <item x="200"/>
        <item x="85"/>
        <item x="164"/>
        <item x="128"/>
        <item x="127"/>
        <item x="296"/>
        <item x="116"/>
        <item x="161"/>
        <item x="279"/>
        <item x="264"/>
        <item x="104"/>
        <item x="209"/>
        <item x="223"/>
        <item x="220"/>
        <item x="227"/>
        <item x="258"/>
        <item x="138"/>
        <item x="267"/>
        <item x="129"/>
        <item x="294"/>
        <item x="83"/>
        <item x="117"/>
        <item x="230"/>
        <item x="25"/>
        <item x="33"/>
        <item x="34"/>
        <item x="168"/>
        <item x="300"/>
        <item x="7"/>
        <item x="81"/>
        <item x="12"/>
        <item x="301"/>
        <item x="282"/>
        <item x="269"/>
        <item x="42"/>
        <item x="147"/>
        <item x="22"/>
        <item x="17"/>
        <item x="5"/>
        <item x="18"/>
        <item x="174"/>
        <item x="53"/>
        <item x="28"/>
        <item x="154"/>
        <item x="248"/>
        <item x="237"/>
        <item x="158"/>
        <item x="203"/>
        <item x="304"/>
        <item x="272"/>
        <item x="308"/>
        <item x="299"/>
        <item x="295"/>
        <item x="226"/>
        <item x="157"/>
        <item x="186"/>
        <item x="312"/>
        <item x="130"/>
        <item x="228"/>
        <item x="131"/>
        <item x="229"/>
        <item x="21"/>
        <item x="20"/>
        <item x="284"/>
        <item x="184"/>
        <item x="105"/>
        <item x="271"/>
        <item x="288"/>
        <item x="316"/>
        <item x="274"/>
        <item x="307"/>
        <item x="302"/>
        <item x="303"/>
        <item x="323"/>
        <item x="324"/>
        <item x="325"/>
        <item x="306"/>
        <item x="305"/>
        <item x="326"/>
        <item x="327"/>
        <item x="313"/>
        <item x="314"/>
        <item x="320"/>
        <item x="69"/>
        <item x="317"/>
        <item x="309"/>
        <item x="254"/>
        <item x="234"/>
        <item x="224"/>
        <item x="27"/>
        <item x="79"/>
        <item x="292"/>
        <item x="136"/>
        <item x="163"/>
        <item x="240"/>
        <item x="251"/>
        <item x="232"/>
        <item x="191"/>
        <item x="160"/>
        <item x="194"/>
        <item x="54"/>
        <item x="205"/>
        <item x="193"/>
        <item x="216"/>
        <item x="249"/>
        <item x="143"/>
        <item x="169"/>
        <item x="206"/>
        <item x="100"/>
        <item x="65"/>
        <item x="201"/>
        <item x="167"/>
        <item x="150"/>
        <item x="91"/>
        <item x="98"/>
        <item x="107"/>
        <item x="222"/>
        <item x="32"/>
        <item x="247"/>
        <item x="56"/>
        <item x="23"/>
        <item x="214"/>
        <item x="280"/>
        <item x="35"/>
        <item x="52"/>
        <item x="24"/>
        <item x="80"/>
        <item x="82"/>
        <item x="60"/>
        <item x="59"/>
        <item x="329"/>
        <item x="182"/>
        <item x="281"/>
        <item x="165"/>
        <item x="84"/>
        <item x="152"/>
        <item x="30"/>
        <item x="213"/>
        <item x="55"/>
        <item x="11"/>
        <item x="67"/>
        <item x="108"/>
        <item x="145"/>
        <item x="50"/>
        <item x="26"/>
        <item x="151"/>
        <item x="238"/>
        <item x="246"/>
        <item x="244"/>
        <item x="96"/>
        <item x="29"/>
        <item x="221"/>
        <item x="19"/>
        <item x="31"/>
        <item x="15"/>
        <item x="2"/>
        <item x="113"/>
        <item x="77"/>
        <item x="101"/>
        <item x="68"/>
        <item x="166"/>
        <item x="322"/>
        <item x="171"/>
        <item x="277"/>
        <item x="276"/>
        <item x="315"/>
        <item x="310"/>
        <item x="49"/>
        <item x="120"/>
        <item x="148"/>
        <item x="318"/>
        <item x="183"/>
        <item x="137"/>
        <item x="99"/>
        <item x="273"/>
        <item x="140"/>
        <item x="92"/>
        <item x="9"/>
        <item x="321"/>
        <item x="283"/>
        <item x="8"/>
        <item x="115"/>
        <item x="97"/>
        <item x="86"/>
        <item x="162"/>
        <item x="112"/>
        <item x="94"/>
        <item x="255"/>
        <item x="146"/>
        <item x="47"/>
        <item x="48"/>
        <item x="118"/>
        <item x="290"/>
        <item x="260"/>
        <item x="261"/>
        <item x="263"/>
        <item x="262"/>
        <item x="328"/>
        <item x="41"/>
        <item x="236"/>
        <item x="208"/>
        <item x="122"/>
        <item x="36"/>
        <item x="132"/>
        <item x="102"/>
        <item x="16"/>
        <item x="133"/>
        <item x="40"/>
        <item x="256"/>
        <item x="75"/>
        <item x="192"/>
        <item x="1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266">
        <item x="1"/>
        <item x="15"/>
        <item x="0"/>
        <item x="68"/>
        <item x="2"/>
        <item x="3"/>
        <item x="4"/>
        <item x="5"/>
        <item x="6"/>
        <item x="209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4"/>
        <item x="26"/>
        <item x="26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2"/>
        <item x="64"/>
        <item x="65"/>
        <item x="67"/>
        <item x="69"/>
        <item x="71"/>
        <item x="73"/>
        <item x="74"/>
        <item x="75"/>
        <item x="76"/>
        <item x="257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25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70"/>
        <item x="103"/>
        <item x="146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32"/>
        <item x="125"/>
        <item x="126"/>
        <item x="127"/>
        <item x="128"/>
        <item x="129"/>
        <item x="130"/>
        <item x="131"/>
        <item x="123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72"/>
        <item x="172"/>
        <item x="173"/>
        <item x="174"/>
        <item x="175"/>
        <item x="176"/>
        <item x="177"/>
        <item x="178"/>
        <item x="179"/>
        <item x="180"/>
        <item x="181"/>
        <item x="6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25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59"/>
        <item x="240"/>
        <item x="241"/>
        <item x="242"/>
        <item x="260"/>
        <item x="261"/>
        <item x="262"/>
        <item x="243"/>
        <item x="244"/>
        <item x="245"/>
        <item x="246"/>
        <item x="247"/>
        <item x="248"/>
        <item x="263"/>
        <item x="249"/>
        <item x="250"/>
        <item x="251"/>
        <item x="252"/>
        <item x="253"/>
        <item x="254"/>
        <item x="255"/>
        <item x="25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333">
    <i>
      <x/>
      <x v="97"/>
    </i>
    <i r="1">
      <x v="102"/>
    </i>
    <i r="1">
      <x v="101"/>
    </i>
    <i r="1">
      <x v="98"/>
    </i>
    <i r="1">
      <x v="103"/>
    </i>
    <i r="1">
      <x v="99"/>
    </i>
    <i r="1">
      <x v="100"/>
    </i>
    <i>
      <x v="1"/>
      <x v="175"/>
    </i>
    <i r="1">
      <x v="180"/>
    </i>
    <i r="1">
      <x v="179"/>
    </i>
    <i r="1">
      <x v="176"/>
    </i>
    <i r="1">
      <x v="270"/>
    </i>
    <i r="1">
      <x v="177"/>
    </i>
    <i r="1">
      <x v="178"/>
    </i>
    <i>
      <x v="2"/>
      <x v="16"/>
    </i>
    <i r="1">
      <x v="17"/>
    </i>
    <i>
      <x v="3"/>
      <x v="104"/>
    </i>
    <i>
      <x v="4"/>
      <x v="273"/>
    </i>
    <i r="1">
      <x v="275"/>
    </i>
    <i r="1">
      <x v="276"/>
    </i>
    <i r="1">
      <x v="274"/>
    </i>
    <i>
      <x v="5"/>
      <x v="155"/>
    </i>
    <i r="1">
      <x v="157"/>
    </i>
    <i r="1">
      <x v="156"/>
    </i>
    <i>
      <x v="6"/>
      <x v="5"/>
    </i>
    <i>
      <x v="7"/>
      <x v="146"/>
    </i>
    <i>
      <x v="8"/>
      <x v="298"/>
    </i>
    <i>
      <x v="9"/>
      <x v="167"/>
    </i>
    <i>
      <x v="10"/>
      <x v="295"/>
    </i>
    <i>
      <x v="11"/>
      <x v="70"/>
    </i>
    <i>
      <x v="12"/>
      <x v="257"/>
    </i>
    <i>
      <x v="13"/>
      <x v="148"/>
    </i>
    <i r="1">
      <x v="147"/>
    </i>
    <i>
      <x v="14"/>
      <x v="92"/>
    </i>
    <i r="1">
      <x v="93"/>
    </i>
    <i r="1">
      <x v="91"/>
    </i>
    <i>
      <x v="15"/>
      <x/>
    </i>
    <i>
      <x v="16"/>
      <x v="272"/>
    </i>
    <i r="1">
      <x v="271"/>
    </i>
    <i>
      <x v="17"/>
      <x v="323"/>
    </i>
    <i>
      <x v="18"/>
      <x v="154"/>
    </i>
    <i>
      <x v="19"/>
      <x v="238"/>
    </i>
    <i>
      <x v="20"/>
      <x v="243"/>
    </i>
    <i r="1">
      <x v="244"/>
    </i>
    <i>
      <x v="21"/>
      <x v="141"/>
    </i>
    <i>
      <x v="22"/>
      <x v="262"/>
    </i>
    <i>
      <x v="23"/>
      <x v="207"/>
    </i>
    <i>
      <x v="24"/>
      <x v="160"/>
    </i>
    <i>
      <x v="25"/>
      <x v="268"/>
    </i>
    <i>
      <x v="26"/>
      <x v="254"/>
    </i>
    <i>
      <x v="27"/>
      <x v="235"/>
    </i>
    <i>
      <x v="28"/>
      <x v="315"/>
    </i>
    <i>
      <x v="29"/>
      <x v="143"/>
    </i>
    <i r="1">
      <x v="142"/>
    </i>
    <i>
      <x v="30"/>
      <x v="248"/>
    </i>
    <i>
      <x v="31"/>
      <x v="242"/>
    </i>
    <i r="1">
      <x v="241"/>
    </i>
    <i>
      <x v="32"/>
      <x v="320"/>
    </i>
    <i>
      <x v="33"/>
      <x v="51"/>
    </i>
    <i>
      <x v="34"/>
      <x v="47"/>
    </i>
    <i r="1">
      <x v="48"/>
    </i>
    <i>
      <x v="35"/>
      <x v="325"/>
    </i>
    <i>
      <x v="36"/>
      <x v="316"/>
    </i>
    <i r="1">
      <x v="329"/>
    </i>
    <i>
      <x v="37"/>
      <x v="152"/>
    </i>
    <i>
      <x v="38"/>
      <x v="10"/>
    </i>
    <i r="1">
      <x v="9"/>
    </i>
    <i>
      <x v="39"/>
      <x v="33"/>
    </i>
    <i r="1">
      <x v="32"/>
    </i>
    <i>
      <x v="40"/>
      <x v="4"/>
    </i>
    <i>
      <x v="41"/>
      <x v="308"/>
    </i>
    <i r="1">
      <x v="307"/>
    </i>
    <i>
      <x v="42"/>
      <x v="285"/>
    </i>
    <i>
      <x v="43"/>
      <x v="261"/>
    </i>
    <i>
      <x v="44"/>
      <x v="68"/>
    </i>
    <i>
      <x v="45"/>
      <x v="159"/>
    </i>
    <i>
      <x v="46"/>
      <x v="218"/>
    </i>
    <i>
      <x v="47"/>
      <x v="256"/>
    </i>
    <i>
      <x v="48"/>
      <x v="237"/>
    </i>
    <i>
      <x v="49"/>
      <x v="73"/>
    </i>
    <i r="1">
      <x v="41"/>
    </i>
    <i>
      <x v="50"/>
      <x v="105"/>
    </i>
    <i>
      <x v="51"/>
      <x v="247"/>
    </i>
    <i>
      <x v="52"/>
      <x v="246"/>
    </i>
    <i r="1">
      <x v="245"/>
    </i>
    <i>
      <x v="53"/>
      <x v="109"/>
    </i>
    <i>
      <x v="54"/>
      <x v="94"/>
    </i>
    <i>
      <x v="55"/>
      <x v="80"/>
    </i>
    <i>
      <x v="56"/>
      <x v="14"/>
    </i>
    <i>
      <x v="57"/>
      <x v="226"/>
    </i>
    <i r="1">
      <x v="227"/>
    </i>
    <i>
      <x v="58"/>
      <x v="2"/>
    </i>
    <i>
      <x v="59"/>
      <x v="258"/>
    </i>
    <i>
      <x v="60"/>
      <x v="277"/>
    </i>
    <i>
      <x v="61"/>
      <x v="201"/>
    </i>
    <i>
      <x v="62"/>
      <x v="86"/>
    </i>
    <i>
      <x v="63"/>
      <x v="85"/>
    </i>
    <i r="1">
      <x v="327"/>
    </i>
    <i r="1">
      <x v="84"/>
    </i>
    <i>
      <x v="64"/>
      <x v="34"/>
    </i>
    <i>
      <x v="65"/>
      <x v="208"/>
    </i>
    <i>
      <x v="66"/>
      <x v="252"/>
    </i>
    <i>
      <x v="67"/>
      <x v="138"/>
    </i>
    <i>
      <x v="68"/>
      <x v="119"/>
    </i>
    <i>
      <x v="69"/>
      <x v="301"/>
    </i>
    <i>
      <x v="70"/>
      <x v="7"/>
    </i>
    <i>
      <x v="71"/>
      <x v="231"/>
    </i>
    <i>
      <x v="72"/>
      <x v="1"/>
    </i>
    <i>
      <x v="73"/>
      <x v="12"/>
    </i>
    <i>
      <x v="74"/>
      <x v="267"/>
    </i>
    <i>
      <x v="75"/>
      <x v="300"/>
    </i>
    <i>
      <x v="76"/>
      <x v="233"/>
    </i>
    <i r="1">
      <x v="232"/>
    </i>
    <i>
      <x v="77"/>
      <x v="296"/>
    </i>
    <i>
      <x v="78"/>
      <x v="291"/>
    </i>
    <i>
      <x v="79"/>
      <x v="322"/>
    </i>
    <i>
      <x v="80"/>
      <x v="11"/>
    </i>
    <i>
      <x v="81"/>
      <x v="128"/>
    </i>
    <i>
      <x v="82"/>
      <x v="183"/>
    </i>
    <i>
      <x v="83"/>
      <x v="81"/>
    </i>
    <i>
      <x v="84"/>
      <x v="259"/>
    </i>
    <i>
      <x v="85"/>
      <x v="55"/>
    </i>
    <i r="1">
      <x v="54"/>
    </i>
    <i>
      <x v="86"/>
      <x v="303"/>
    </i>
    <i>
      <x v="87"/>
      <x v="299"/>
    </i>
    <i>
      <x v="88"/>
      <x v="124"/>
    </i>
    <i>
      <x v="89"/>
      <x v="299"/>
    </i>
    <i>
      <x v="90"/>
      <x v="279"/>
    </i>
    <i>
      <x v="91"/>
      <x v="139"/>
    </i>
    <i>
      <x v="92"/>
      <x v="309"/>
    </i>
    <i>
      <x v="93"/>
      <x v="74"/>
    </i>
    <i>
      <x v="94"/>
      <x v="286"/>
    </i>
    <i>
      <x v="95"/>
      <x v="319"/>
    </i>
    <i>
      <x v="96"/>
      <x v="72"/>
    </i>
    <i>
      <x v="97"/>
      <x v="69"/>
    </i>
    <i>
      <x v="98"/>
      <x v="18"/>
    </i>
    <i r="1">
      <x v="19"/>
    </i>
    <i>
      <x v="99"/>
      <x v="122"/>
    </i>
    <i>
      <x v="100"/>
      <x v="121"/>
    </i>
    <i>
      <x v="101"/>
      <x v="136"/>
    </i>
    <i>
      <x v="102"/>
      <x v="321"/>
    </i>
    <i>
      <x v="103"/>
      <x v="324"/>
    </i>
    <i r="1">
      <x v="112"/>
    </i>
    <i>
      <x v="104"/>
      <x v="71"/>
    </i>
    <i>
      <x v="105"/>
      <x v="293"/>
    </i>
    <i r="1">
      <x v="294"/>
    </i>
    <i>
      <x v="106"/>
      <x v="210"/>
    </i>
    <i>
      <x v="107"/>
      <x v="43"/>
    </i>
    <i r="1">
      <x v="42"/>
    </i>
    <i>
      <x v="108"/>
      <x v="290"/>
    </i>
    <i r="1">
      <x v="289"/>
    </i>
    <i>
      <x v="109"/>
      <x v="134"/>
    </i>
    <i>
      <x v="110"/>
      <x v="61"/>
    </i>
    <i>
      <x v="111"/>
      <x v="79"/>
    </i>
    <i>
      <x v="112"/>
      <x v="223"/>
    </i>
    <i r="1">
      <x v="215"/>
    </i>
    <i>
      <x v="113"/>
      <x v="59"/>
    </i>
    <i>
      <x v="114"/>
      <x v="260"/>
    </i>
    <i>
      <x v="115"/>
      <x v="306"/>
    </i>
    <i>
      <x v="116"/>
      <x v="153"/>
    </i>
    <i>
      <x v="117"/>
      <x v="287"/>
    </i>
    <i>
      <x v="118"/>
      <x v="82"/>
    </i>
    <i>
      <x v="119"/>
      <x v="230"/>
    </i>
    <i>
      <x v="120"/>
      <x v="263"/>
    </i>
    <i>
      <x v="121"/>
      <x v="253"/>
    </i>
    <i>
      <x v="122"/>
      <x v="37"/>
    </i>
    <i>
      <x v="123"/>
      <x v="161"/>
    </i>
    <i>
      <x v="124"/>
      <x v="31"/>
    </i>
    <i>
      <x v="125"/>
      <x v="116"/>
    </i>
    <i r="1">
      <x v="117"/>
    </i>
    <i>
      <x v="126"/>
      <x v="172"/>
    </i>
    <i>
      <x v="127"/>
      <x v="35"/>
    </i>
    <i r="1">
      <x v="36"/>
    </i>
    <i>
      <x v="128"/>
      <x v="229"/>
    </i>
    <i r="1">
      <x v="228"/>
    </i>
    <i>
      <x v="129"/>
      <x v="219"/>
    </i>
    <i r="1">
      <x v="216"/>
    </i>
    <i>
      <x v="130"/>
      <x v="125"/>
    </i>
    <i>
      <x v="131"/>
      <x v="302"/>
    </i>
    <i>
      <x v="132"/>
      <x v="211"/>
    </i>
    <i>
      <x v="133"/>
      <x v="118"/>
    </i>
    <i r="1">
      <x v="120"/>
    </i>
    <i>
      <x v="134"/>
      <x v="251"/>
    </i>
    <i>
      <x v="135"/>
      <x v="278"/>
    </i>
    <i>
      <x v="136"/>
      <x v="165"/>
    </i>
    <i r="1">
      <x v="164"/>
    </i>
    <i>
      <x v="137"/>
      <x v="144"/>
    </i>
    <i>
      <x v="138"/>
      <x v="225"/>
    </i>
    <i r="1">
      <x v="224"/>
    </i>
    <i>
      <x v="139"/>
      <x v="49"/>
    </i>
    <i>
      <x v="140"/>
      <x v="280"/>
    </i>
    <i>
      <x v="141"/>
      <x v="65"/>
    </i>
    <i r="1">
      <x v="328"/>
    </i>
    <i r="1">
      <x v="66"/>
    </i>
    <i>
      <x v="142"/>
      <x v="57"/>
    </i>
    <i>
      <x v="143"/>
      <x v="158"/>
    </i>
    <i>
      <x v="144"/>
      <x v="115"/>
    </i>
    <i>
      <x v="145"/>
      <x v="77"/>
    </i>
    <i r="1">
      <x v="78"/>
    </i>
    <i>
      <x v="146"/>
      <x v="21"/>
    </i>
    <i>
      <x v="147"/>
      <x v="50"/>
    </i>
    <i>
      <x v="148"/>
      <x v="20"/>
    </i>
    <i>
      <x v="149"/>
      <x v="3"/>
    </i>
    <i>
      <x v="150"/>
      <x v="249"/>
    </i>
    <i>
      <x v="151"/>
      <x v="182"/>
    </i>
    <i>
      <x v="152"/>
      <x v="90"/>
    </i>
    <i>
      <x v="153"/>
      <x v="173"/>
    </i>
    <i>
      <x v="154"/>
      <x v="58"/>
    </i>
    <i>
      <x v="155"/>
      <x v="6"/>
    </i>
    <i>
      <x v="156"/>
      <x v="89"/>
    </i>
    <i>
      <x v="157"/>
      <x v="220"/>
    </i>
    <i>
      <x v="158"/>
      <x v="217"/>
    </i>
    <i>
      <x v="159"/>
      <x v="88"/>
    </i>
    <i>
      <x v="160"/>
      <x v="27"/>
    </i>
    <i>
      <x v="161"/>
      <x v="53"/>
    </i>
    <i>
      <x v="162"/>
      <x v="95"/>
    </i>
    <i>
      <x v="163"/>
      <x v="23"/>
    </i>
    <i>
      <x v="164"/>
      <x v="318"/>
    </i>
    <i>
      <x v="165"/>
      <x v="129"/>
    </i>
    <i>
      <x v="166"/>
      <x v="56"/>
    </i>
    <i>
      <x v="167"/>
      <x v="28"/>
    </i>
    <i>
      <x v="168"/>
      <x v="255"/>
    </i>
    <i>
      <x v="169"/>
      <x v="239"/>
    </i>
    <i>
      <x v="170"/>
      <x v="96"/>
    </i>
    <i>
      <x v="171"/>
      <x v="222"/>
    </i>
    <i r="1">
      <x v="221"/>
    </i>
    <i>
      <x v="172"/>
      <x v="67"/>
    </i>
    <i>
      <x v="173"/>
      <x v="64"/>
    </i>
    <i>
      <x v="174"/>
      <x v="8"/>
    </i>
    <i>
      <x v="175"/>
      <x v="305"/>
    </i>
    <i r="1">
      <x v="130"/>
    </i>
    <i r="1">
      <x v="304"/>
    </i>
    <i r="1">
      <x v="131"/>
    </i>
    <i r="1">
      <x v="132"/>
    </i>
    <i>
      <x v="176"/>
      <x v="269"/>
    </i>
    <i>
      <x v="177"/>
      <x v="234"/>
    </i>
    <i>
      <x v="178"/>
      <x v="206"/>
    </i>
    <i>
      <x v="179"/>
      <x v="171"/>
    </i>
    <i>
      <x v="180"/>
      <x v="140"/>
    </i>
    <i>
      <x v="181"/>
      <x v="22"/>
    </i>
    <i>
      <x v="182"/>
      <x v="213"/>
    </i>
    <i r="1">
      <x v="214"/>
    </i>
    <i>
      <x v="183"/>
      <x v="83"/>
    </i>
    <i>
      <x v="184"/>
      <x v="205"/>
    </i>
    <i r="1">
      <x v="204"/>
    </i>
    <i>
      <x v="185"/>
      <x v="24"/>
    </i>
    <i r="1">
      <x v="25"/>
    </i>
    <i r="1">
      <x v="26"/>
    </i>
    <i>
      <x v="186"/>
      <x v="63"/>
    </i>
    <i>
      <x v="187"/>
      <x v="317"/>
    </i>
    <i>
      <x v="188"/>
      <x v="163"/>
    </i>
    <i r="1">
      <x v="162"/>
    </i>
    <i>
      <x v="189"/>
      <x v="264"/>
    </i>
    <i r="1">
      <x v="266"/>
    </i>
    <i r="1">
      <x v="265"/>
    </i>
    <i>
      <x v="190"/>
      <x v="45"/>
    </i>
    <i r="1">
      <x v="44"/>
    </i>
    <i>
      <x v="191"/>
      <x v="212"/>
    </i>
    <i>
      <x v="192"/>
      <x v="60"/>
    </i>
    <i>
      <x v="193"/>
      <x v="106"/>
    </i>
    <i>
      <x v="194"/>
      <x v="40"/>
    </i>
    <i>
      <x v="195"/>
      <x v="236"/>
    </i>
    <i>
      <x v="196"/>
      <x v="13"/>
    </i>
    <i>
      <x v="197"/>
      <x v="39"/>
    </i>
    <i>
      <x v="198"/>
      <x v="326"/>
    </i>
    <i>
      <x v="199"/>
      <x v="326"/>
    </i>
    <i>
      <x v="200"/>
      <x v="133"/>
    </i>
    <i>
      <x v="201"/>
      <x v="52"/>
    </i>
    <i>
      <x v="202"/>
      <x v="311"/>
    </i>
    <i>
      <x v="203"/>
      <x v="312"/>
    </i>
    <i>
      <x v="204"/>
      <x v="314"/>
    </i>
    <i>
      <x v="205"/>
      <x v="313"/>
    </i>
    <i>
      <x v="206"/>
      <x v="127"/>
    </i>
    <i>
      <x v="207"/>
      <x v="108"/>
    </i>
    <i>
      <x v="208"/>
      <x v="107"/>
    </i>
    <i>
      <x v="209"/>
      <x v="135"/>
    </i>
    <i>
      <x v="210"/>
      <x v="38"/>
    </i>
    <i>
      <x v="211"/>
      <x v="151"/>
    </i>
    <i>
      <x v="212"/>
      <x v="29"/>
    </i>
    <i>
      <x v="213"/>
      <x v="184"/>
    </i>
    <i>
      <x v="214"/>
      <x v="292"/>
    </i>
    <i>
      <x v="215"/>
      <x v="187"/>
    </i>
    <i>
      <x v="216"/>
      <x v="282"/>
    </i>
    <i>
      <x v="217"/>
      <x v="281"/>
    </i>
    <i>
      <x v="218"/>
      <x v="114"/>
    </i>
    <i>
      <x v="219"/>
      <x v="126"/>
    </i>
    <i>
      <x v="220"/>
      <x v="240"/>
    </i>
    <i>
      <x v="221"/>
      <x v="250"/>
    </i>
    <i>
      <x v="222"/>
      <x v="150"/>
    </i>
    <i>
      <x v="223"/>
      <x v="75"/>
    </i>
    <i>
      <x v="224"/>
      <x v="297"/>
    </i>
    <i>
      <x v="225"/>
      <x v="181"/>
    </i>
    <i>
      <x v="226"/>
      <x v="15"/>
    </i>
    <i>
      <x v="227"/>
      <x v="76"/>
    </i>
    <i>
      <x v="228"/>
      <x v="46"/>
    </i>
    <i>
      <x v="229"/>
      <x v="185"/>
    </i>
    <i>
      <x v="230"/>
      <x v="310"/>
    </i>
    <i>
      <x v="231"/>
      <x v="62"/>
    </i>
    <i>
      <x v="232"/>
      <x v="209"/>
    </i>
    <i>
      <x v="233"/>
      <x v="30"/>
    </i>
    <i>
      <x v="234"/>
      <x v="137"/>
    </i>
    <i>
      <x v="235"/>
      <x v="170"/>
    </i>
    <i>
      <x v="236"/>
      <x v="123"/>
    </i>
    <i>
      <x v="237"/>
      <x v="111"/>
    </i>
    <i>
      <x v="238"/>
      <x v="110"/>
    </i>
    <i>
      <x v="239"/>
      <x v="169"/>
    </i>
    <i>
      <x v="240"/>
      <x v="145"/>
    </i>
    <i>
      <x v="241"/>
      <x v="149"/>
    </i>
    <i>
      <x v="242"/>
      <x v="189"/>
    </i>
    <i>
      <x v="243"/>
      <x v="190"/>
    </i>
    <i>
      <x v="244"/>
      <x v="191"/>
    </i>
    <i>
      <x v="245"/>
      <x v="166"/>
    </i>
    <i>
      <x v="246"/>
      <x v="195"/>
    </i>
    <i>
      <x v="247"/>
      <x v="194"/>
    </i>
    <i>
      <x v="248"/>
      <x v="192"/>
    </i>
    <i>
      <x v="249"/>
      <x v="193"/>
    </i>
    <i>
      <x v="250"/>
      <x v="196"/>
    </i>
    <i>
      <x v="251"/>
      <x v="188"/>
    </i>
    <i>
      <x v="252"/>
      <x v="168"/>
    </i>
    <i>
      <x v="253"/>
      <x v="203"/>
    </i>
    <i>
      <x v="254"/>
      <x v="284"/>
    </i>
    <i>
      <x v="255"/>
      <x v="87"/>
    </i>
    <i>
      <x v="256"/>
      <x v="174"/>
    </i>
    <i>
      <x v="257"/>
      <x v="197"/>
    </i>
    <i>
      <x v="258"/>
      <x v="198"/>
    </i>
    <i>
      <x v="259"/>
      <x v="199"/>
    </i>
    <i>
      <x v="260"/>
      <x v="283"/>
    </i>
    <i>
      <x v="261"/>
      <x v="186"/>
    </i>
    <i>
      <x v="262"/>
      <x v="202"/>
    </i>
    <i>
      <x v="263"/>
      <x v="288"/>
    </i>
    <i>
      <x v="264"/>
      <x v="113"/>
    </i>
    <i>
      <x v="265"/>
      <x v="200"/>
    </i>
    <i t="grand">
      <x/>
    </i>
  </rowItems>
  <colItems count="1">
    <i/>
  </colItems>
  <dataFields count="1">
    <dataField name="Count of Customer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70F5-BDD1-41AE-BA6B-E2746F771FCF}">
  <dimension ref="A3:C271"/>
  <sheetViews>
    <sheetView workbookViewId="0">
      <selection activeCell="B2" sqref="B2"/>
    </sheetView>
  </sheetViews>
  <sheetFormatPr defaultRowHeight="14.4" x14ac:dyDescent="0.3"/>
  <cols>
    <col min="1" max="1" width="25.88671875" bestFit="1" customWidth="1"/>
    <col min="2" max="4" width="5.44140625" bestFit="1" customWidth="1"/>
  </cols>
  <sheetData>
    <row r="3" spans="1:3" x14ac:dyDescent="0.3">
      <c r="A3" s="6" t="s">
        <v>366</v>
      </c>
    </row>
    <row r="4" spans="1:3" x14ac:dyDescent="0.3">
      <c r="A4" s="6" t="s">
        <v>364</v>
      </c>
      <c r="B4" t="s">
        <v>367</v>
      </c>
    </row>
    <row r="5" spans="1:3" x14ac:dyDescent="0.3">
      <c r="A5">
        <v>1000089</v>
      </c>
      <c r="B5" s="7">
        <v>8</v>
      </c>
      <c r="C5" t="str">
        <f>VLOOKUP(A5,'[1]AR vs Collections 31.05.2025'!$B$566:$C$585,2,0)</f>
        <v>SHETA AL SAIF</v>
      </c>
    </row>
    <row r="6" spans="1:3" x14ac:dyDescent="0.3">
      <c r="A6">
        <v>1000013</v>
      </c>
      <c r="B6" s="7">
        <v>7</v>
      </c>
      <c r="C6" t="str">
        <f>VLOOKUP(A6,'[1]AR vs Collections 31.05.2025'!$B$566:$C$585,2,0)</f>
        <v>LULU</v>
      </c>
    </row>
    <row r="7" spans="1:3" x14ac:dyDescent="0.3">
      <c r="A7">
        <v>1000001</v>
      </c>
      <c r="B7" s="7">
        <v>7</v>
      </c>
      <c r="C7" t="s">
        <v>368</v>
      </c>
    </row>
    <row r="8" spans="1:3" x14ac:dyDescent="0.3">
      <c r="A8">
        <v>1000057</v>
      </c>
      <c r="B8" s="7">
        <v>6</v>
      </c>
      <c r="C8" t="str">
        <f>VLOOKUP(A8,'[1]AR vs Collections 31.05.2025'!$B$566:$C$585,2,0)</f>
        <v>AFAQ Q Tech General Trading LLC-Amazon</v>
      </c>
    </row>
    <row r="9" spans="1:3" x14ac:dyDescent="0.3">
      <c r="A9">
        <v>3000105</v>
      </c>
      <c r="B9" s="7">
        <v>6</v>
      </c>
      <c r="C9" t="str">
        <f>VLOOKUP(A9,'[1]AR vs Collections 31.05.2025'!$B$566:$C$585,2,0)</f>
        <v>EXTRA</v>
      </c>
    </row>
    <row r="10" spans="1:3" x14ac:dyDescent="0.3">
      <c r="A10">
        <v>2000633</v>
      </c>
      <c r="B10" s="7">
        <v>6</v>
      </c>
      <c r="C10" t="str">
        <f>VLOOKUP(A10,'[1]AR vs Collections 31.05.2025'!$B$566:$C$585,2,0)</f>
        <v>Bin Hamoud Saudi Trading Company</v>
      </c>
    </row>
    <row r="11" spans="1:3" x14ac:dyDescent="0.3">
      <c r="A11">
        <v>3000432</v>
      </c>
      <c r="B11" s="7">
        <v>5</v>
      </c>
      <c r="C11" t="s">
        <v>369</v>
      </c>
    </row>
    <row r="12" spans="1:3" x14ac:dyDescent="0.3">
      <c r="A12">
        <v>3000079</v>
      </c>
      <c r="B12" s="7">
        <v>5</v>
      </c>
      <c r="C12" t="s">
        <v>220</v>
      </c>
    </row>
    <row r="13" spans="1:3" x14ac:dyDescent="0.3">
      <c r="A13">
        <v>2000546</v>
      </c>
      <c r="B13" s="7">
        <v>5</v>
      </c>
      <c r="C13" t="s">
        <v>370</v>
      </c>
    </row>
    <row r="14" spans="1:3" x14ac:dyDescent="0.3">
      <c r="A14">
        <v>3000433</v>
      </c>
      <c r="B14" s="7">
        <v>4</v>
      </c>
      <c r="C14" t="str">
        <f>VLOOKUP(A14,'[1]AR vs Collections 31.05.2025'!$B$566:$C$585,2,0)</f>
        <v>Mohamed Saleh Aldossary Co. Ltd</v>
      </c>
    </row>
    <row r="15" spans="1:3" x14ac:dyDescent="0.3">
      <c r="A15">
        <v>2000650</v>
      </c>
      <c r="B15" s="7">
        <v>4</v>
      </c>
      <c r="C15" t="s">
        <v>198</v>
      </c>
    </row>
    <row r="16" spans="1:3" x14ac:dyDescent="0.3">
      <c r="A16">
        <v>2000611</v>
      </c>
      <c r="B16" s="7">
        <v>4</v>
      </c>
      <c r="C16" t="s">
        <v>194</v>
      </c>
    </row>
    <row r="17" spans="1:3" x14ac:dyDescent="0.3">
      <c r="A17">
        <v>2000518</v>
      </c>
      <c r="B17" s="7">
        <v>4</v>
      </c>
      <c r="C17" t="s">
        <v>140</v>
      </c>
    </row>
    <row r="18" spans="1:3" x14ac:dyDescent="0.3">
      <c r="A18">
        <v>1000797</v>
      </c>
      <c r="B18" s="7">
        <v>4</v>
      </c>
      <c r="C18" t="s">
        <v>43</v>
      </c>
    </row>
    <row r="19" spans="1:3" x14ac:dyDescent="0.3">
      <c r="A19">
        <v>3000493</v>
      </c>
      <c r="B19" s="7">
        <v>4</v>
      </c>
      <c r="C19" t="s">
        <v>260</v>
      </c>
    </row>
    <row r="20" spans="1:3" x14ac:dyDescent="0.3">
      <c r="A20">
        <v>1000905</v>
      </c>
      <c r="B20" s="7">
        <v>4</v>
      </c>
      <c r="C20" t="s">
        <v>75</v>
      </c>
    </row>
    <row r="21" spans="1:3" x14ac:dyDescent="0.3">
      <c r="A21">
        <v>3000444</v>
      </c>
      <c r="B21" s="7">
        <v>4</v>
      </c>
      <c r="C21" t="str">
        <f>VLOOKUP(A21,Sheet4!A:B,2,0)</f>
        <v>Cold World Trading Est</v>
      </c>
    </row>
    <row r="22" spans="1:3" x14ac:dyDescent="0.3">
      <c r="A22">
        <v>1000480</v>
      </c>
      <c r="B22" s="7">
        <v>4</v>
      </c>
      <c r="C22" t="str">
        <f>VLOOKUP(A22,Sheet4!A:B,2,0)</f>
        <v>Black Box Co.</v>
      </c>
    </row>
    <row r="23" spans="1:3" x14ac:dyDescent="0.3">
      <c r="A23">
        <v>2000558</v>
      </c>
      <c r="B23" s="7">
        <v>4</v>
      </c>
      <c r="C23" t="str">
        <f>VLOOKUP(A23,Sheet4!A:B,2,0)</f>
        <v>Al Masa Mall Company for</v>
      </c>
    </row>
    <row r="24" spans="1:3" x14ac:dyDescent="0.3">
      <c r="A24">
        <v>1000639</v>
      </c>
      <c r="B24" s="7">
        <v>4</v>
      </c>
      <c r="C24" t="str">
        <f>VLOOKUP(A24,'[1]AR vs Collections 31.05.2025'!$B$566:$C$585,2,0)</f>
        <v>Noon Solution E-Commerce co</v>
      </c>
    </row>
    <row r="25" spans="1:3" x14ac:dyDescent="0.3">
      <c r="A25">
        <v>2000564</v>
      </c>
      <c r="B25" s="7">
        <v>4</v>
      </c>
      <c r="C25" t="str">
        <f>VLOOKUP(A25,Sheet4!A:B,2,0)</f>
        <v>Muhammad Fayez Ali Al Shehri Tradin</v>
      </c>
    </row>
    <row r="26" spans="1:3" x14ac:dyDescent="0.3">
      <c r="A26">
        <v>1000877</v>
      </c>
      <c r="B26" s="7">
        <v>4</v>
      </c>
      <c r="C26" t="str">
        <f>VLOOKUP(A26,Sheet4!A:B,2,0)</f>
        <v>Mumzworld Arabia Co for Business se</v>
      </c>
    </row>
    <row r="27" spans="1:3" x14ac:dyDescent="0.3">
      <c r="A27">
        <v>1000471</v>
      </c>
      <c r="B27" s="7">
        <v>4</v>
      </c>
      <c r="C27" t="str">
        <f>VLOOKUP(A27,'[1]AR vs Collections 31.05.2025'!$B$566:$C$585,2,0)</f>
        <v>AlManea Co, Ltd</v>
      </c>
    </row>
    <row r="28" spans="1:3" x14ac:dyDescent="0.3">
      <c r="A28">
        <v>3000439</v>
      </c>
      <c r="B28" s="7">
        <v>4</v>
      </c>
      <c r="C28" t="str">
        <f>VLOOKUP(A28,Sheet4!A:B,2,0)</f>
        <v>Al Othman Trading Limited Liability</v>
      </c>
    </row>
    <row r="29" spans="1:3" x14ac:dyDescent="0.3">
      <c r="A29">
        <v>2000576</v>
      </c>
      <c r="B29" s="7">
        <v>4</v>
      </c>
      <c r="C29" t="str">
        <f>VLOOKUP(A29,Sheet4!A:B,2,0)</f>
        <v>Diyar Al Fares Trading Company</v>
      </c>
    </row>
    <row r="30" spans="1:3" x14ac:dyDescent="0.3">
      <c r="A30">
        <v>2000594</v>
      </c>
      <c r="B30" s="7">
        <v>4</v>
      </c>
      <c r="C30" t="str">
        <f>VLOOKUP(A30,Sheet4!A:B,2,0)</f>
        <v>Khudair Abdul Rahman Muhammad</v>
      </c>
    </row>
    <row r="31" spans="1:3" x14ac:dyDescent="0.3">
      <c r="A31">
        <v>2000531</v>
      </c>
      <c r="B31" s="7">
        <v>4</v>
      </c>
      <c r="C31" t="str">
        <f>VLOOKUP(A31,Sheet4!A:B,2,0)</f>
        <v>United Vision Trading Company</v>
      </c>
    </row>
    <row r="32" spans="1:3" x14ac:dyDescent="0.3">
      <c r="A32">
        <v>1000795</v>
      </c>
      <c r="B32" s="7">
        <v>3</v>
      </c>
      <c r="C32" t="str">
        <f>VLOOKUP(A32,Sheet4!A:B,2,0)</f>
        <v>Al Rabee &amp; Al Saif Trading Company</v>
      </c>
    </row>
    <row r="33" spans="1:3" x14ac:dyDescent="0.3">
      <c r="A33">
        <v>3000501</v>
      </c>
      <c r="B33" s="7">
        <v>3</v>
      </c>
      <c r="C33" t="str">
        <f>VLOOKUP(A33,Sheet4!A:B,2,0)</f>
        <v>Fahad Al Shamal Establishment for H</v>
      </c>
    </row>
    <row r="34" spans="1:3" x14ac:dyDescent="0.3">
      <c r="A34">
        <v>2000525</v>
      </c>
      <c r="B34" s="7">
        <v>3</v>
      </c>
      <c r="C34" t="str">
        <f>VLOOKUP(A34,Sheet4!A:B,2,0)</f>
        <v>Muhammad Misfer Hussein Al Musleh</v>
      </c>
    </row>
    <row r="35" spans="1:3" x14ac:dyDescent="0.3">
      <c r="A35">
        <v>1000888</v>
      </c>
      <c r="B35" s="7">
        <v>3</v>
      </c>
      <c r="C35" t="str">
        <f>VLOOKUP(A35,Sheet4!A:B,2,0)</f>
        <v>Silver Dome Trading Est</v>
      </c>
    </row>
    <row r="36" spans="1:3" x14ac:dyDescent="0.3">
      <c r="A36">
        <v>2000688</v>
      </c>
      <c r="B36" s="7">
        <v>3</v>
      </c>
      <c r="C36" t="str">
        <f>VLOOKUP(A36,Sheet4!A:B,2,0)</f>
        <v>Al Safwa Plus Electronic Devices Co</v>
      </c>
    </row>
    <row r="37" spans="1:3" x14ac:dyDescent="0.3">
      <c r="A37">
        <v>1000904</v>
      </c>
      <c r="B37" s="7">
        <v>3</v>
      </c>
      <c r="C37" t="str">
        <f>VLOOKUP(A37,Sheet4!A:B,2,0)</f>
        <v>Basil bin Fahd bin Miteb Al Mazyad</v>
      </c>
    </row>
    <row r="38" spans="1:3" x14ac:dyDescent="0.3">
      <c r="A38">
        <v>3000431</v>
      </c>
      <c r="B38" s="7">
        <v>3</v>
      </c>
      <c r="C38" t="str">
        <f>VLOOKUP(A38,Sheet4!A:B,2,0)</f>
        <v>Mirza Redha Al-Jashi General</v>
      </c>
    </row>
    <row r="39" spans="1:3" x14ac:dyDescent="0.3">
      <c r="A39">
        <v>1000793</v>
      </c>
      <c r="B39" s="7">
        <v>3</v>
      </c>
      <c r="C39" t="str">
        <f>VLOOKUP(A39,Sheet4!A:B,2,0)</f>
        <v>Al Rowad Electronics Company</v>
      </c>
    </row>
    <row r="40" spans="1:3" x14ac:dyDescent="0.3">
      <c r="A40">
        <v>3000438</v>
      </c>
      <c r="B40" s="7">
        <v>3</v>
      </c>
      <c r="C40" t="s">
        <v>242</v>
      </c>
    </row>
    <row r="41" spans="1:3" x14ac:dyDescent="0.3">
      <c r="A41">
        <v>1000920</v>
      </c>
      <c r="B41" s="7">
        <v>3</v>
      </c>
      <c r="C41" t="str">
        <f>VLOOKUP(A41,Sheet4!A:B,2,0)</f>
        <v>Qasr Al Awani Company closed Saudi</v>
      </c>
    </row>
    <row r="42" spans="1:3" x14ac:dyDescent="0.3">
      <c r="A42">
        <v>1000079</v>
      </c>
      <c r="B42" s="7">
        <v>3</v>
      </c>
      <c r="C42" t="str">
        <f>VLOOKUP(A42,Sheet4!A:B,2,0)</f>
        <v>Carrefour Saudi Hypermarkets Co</v>
      </c>
    </row>
    <row r="43" spans="1:3" x14ac:dyDescent="0.3">
      <c r="A43">
        <v>1000924</v>
      </c>
      <c r="B43" s="7">
        <v>3</v>
      </c>
      <c r="C43" t="str">
        <f>VLOOKUP(A43,Sheet4!A:B,2,0)</f>
        <v>Firstcry Trading Company one person</v>
      </c>
    </row>
    <row r="44" spans="1:3" x14ac:dyDescent="0.3">
      <c r="A44">
        <v>2000514</v>
      </c>
      <c r="B44" s="7">
        <v>3</v>
      </c>
      <c r="C44" t="str">
        <f>VLOOKUP(A44,Sheet4!A:B,2,0)</f>
        <v>Tafaroud Alroyah Co. for Investment</v>
      </c>
    </row>
    <row r="45" spans="1:3" x14ac:dyDescent="0.3">
      <c r="A45">
        <v>2000604</v>
      </c>
      <c r="B45" s="7">
        <v>3</v>
      </c>
      <c r="C45" t="s">
        <v>176</v>
      </c>
    </row>
    <row r="46" spans="1:3" x14ac:dyDescent="0.3">
      <c r="A46">
        <v>3000427</v>
      </c>
      <c r="B46" s="7">
        <v>3</v>
      </c>
      <c r="C46" t="str">
        <f>VLOOKUP(A46,Sheet4!A:B,2,0)</f>
        <v>Mohammed Bin Eid Al Khater and Brot</v>
      </c>
    </row>
    <row r="47" spans="1:3" x14ac:dyDescent="0.3">
      <c r="A47">
        <v>2000606</v>
      </c>
      <c r="B47" s="7">
        <v>3</v>
      </c>
      <c r="C47" t="str">
        <f>VLOOKUP(A47,Sheet4!A:B,2,0)</f>
        <v>Al Wefaq Platinum Limited Company</v>
      </c>
    </row>
    <row r="48" spans="1:3" x14ac:dyDescent="0.3">
      <c r="A48">
        <v>2000524</v>
      </c>
      <c r="B48" s="7">
        <v>3</v>
      </c>
      <c r="C48" t="str">
        <f>VLOOKUP(A48,Sheet4!A:B,2,0)</f>
        <v>Asad Company Limited</v>
      </c>
    </row>
    <row r="49" spans="1:3" x14ac:dyDescent="0.3">
      <c r="A49">
        <v>1001001</v>
      </c>
      <c r="B49" s="7">
        <v>3</v>
      </c>
      <c r="C49" t="str">
        <f>VLOOKUP(A49,Sheet4!A:B,2,0)</f>
        <v>AL SARIYAH AL HADITHA For Trading C</v>
      </c>
    </row>
    <row r="50" spans="1:3" x14ac:dyDescent="0.3">
      <c r="A50">
        <v>3000437</v>
      </c>
      <c r="B50" s="7">
        <v>3</v>
      </c>
      <c r="C50" t="str">
        <f>VLOOKUP(A50,Sheet4!A:B,2,0)</f>
        <v>Khotwa Istebaqia Est. for Trading</v>
      </c>
    </row>
    <row r="51" spans="1:3" x14ac:dyDescent="0.3">
      <c r="A51">
        <v>2000629</v>
      </c>
      <c r="B51" s="7">
        <v>3</v>
      </c>
      <c r="C51" t="str">
        <f>VLOOKUP(A51,'[1]AR vs Collections 31.05.2025'!$B$566:$C$585,2,0)</f>
        <v>Bin Momen Trading Company</v>
      </c>
    </row>
    <row r="52" spans="1:3" x14ac:dyDescent="0.3">
      <c r="A52">
        <v>1000185</v>
      </c>
      <c r="B52" s="7">
        <v>3</v>
      </c>
      <c r="C52" t="str">
        <f>VLOOKUP(A52,'[1]AR vs Collections 31.05.2025'!$B$566:$C$585,2,0)</f>
        <v>JARIR BOOK STORES</v>
      </c>
    </row>
    <row r="53" spans="1:3" x14ac:dyDescent="0.3">
      <c r="A53">
        <v>2000215</v>
      </c>
      <c r="B53" s="7">
        <v>3</v>
      </c>
      <c r="C53" t="str">
        <f>VLOOKUP(A53,'[1]AR vs Collections 31.05.2025'!$B$566:$C$585,2,0)</f>
        <v>AHMED ABDUL WAHED - HO</v>
      </c>
    </row>
    <row r="54" spans="1:3" x14ac:dyDescent="0.3">
      <c r="A54">
        <v>3000472</v>
      </c>
      <c r="B54" s="7">
        <v>3</v>
      </c>
      <c r="C54" t="str">
        <f>VLOOKUP(A54,Sheet4!A:B,2,0)</f>
        <v>Al Motamakin Trading Est</v>
      </c>
    </row>
    <row r="55" spans="1:3" x14ac:dyDescent="0.3">
      <c r="A55">
        <v>2000647</v>
      </c>
      <c r="B55" s="7">
        <v>3</v>
      </c>
      <c r="C55" t="str">
        <f>VLOOKUP(A55,Sheet4!A:B,2,0)</f>
        <v>Muhammad Ibrahim Abdullah Falqi Tra</v>
      </c>
    </row>
    <row r="56" spans="1:3" x14ac:dyDescent="0.3">
      <c r="A56">
        <v>2000498</v>
      </c>
      <c r="B56" s="7">
        <v>3</v>
      </c>
      <c r="C56" t="str">
        <f>VLOOKUP(A56,'[1]AR vs Collections 31.05.2025'!$B$566:$C$585,2,0)</f>
        <v>Tamkeen International for Home</v>
      </c>
    </row>
    <row r="57" spans="1:3" x14ac:dyDescent="0.3">
      <c r="A57">
        <v>3000509</v>
      </c>
      <c r="B57" s="7">
        <v>3</v>
      </c>
      <c r="C57" t="str">
        <f>VLOOKUP(A57,Sheet4!A:B,2,0)</f>
        <v>Al Roya Al Barda for Refrigeration</v>
      </c>
    </row>
    <row r="58" spans="1:3" x14ac:dyDescent="0.3">
      <c r="A58">
        <v>2000543</v>
      </c>
      <c r="B58" s="7">
        <v>3</v>
      </c>
      <c r="C58" t="str">
        <f>VLOOKUP(A58,Sheet4!A:B,2,0)</f>
        <v>Al Maslahi Trading Company</v>
      </c>
    </row>
    <row r="59" spans="1:3" x14ac:dyDescent="0.3">
      <c r="A59">
        <v>2000574</v>
      </c>
      <c r="B59" s="7">
        <v>3</v>
      </c>
      <c r="C59" t="str">
        <f>VLOOKUP(A59,Sheet4!A:B,2,0)</f>
        <v>Modern Trading Center Company</v>
      </c>
    </row>
    <row r="60" spans="1:3" x14ac:dyDescent="0.3">
      <c r="A60">
        <v>2000755</v>
      </c>
      <c r="B60" s="7">
        <v>2</v>
      </c>
      <c r="C60" t="str">
        <f>VLOOKUP(A60,'[1]AR vs Collections 31.05.2025'!$B$566:$C$585,2,0)</f>
        <v>Al Wakeel General Trading Company</v>
      </c>
    </row>
    <row r="61" spans="1:3" x14ac:dyDescent="0.3">
      <c r="A61">
        <v>2000617</v>
      </c>
      <c r="B61" s="7">
        <v>2</v>
      </c>
      <c r="C61" t="str">
        <f>VLOOKUP(A61,Sheet4!A:B,2,0)</f>
        <v>Ahmed Ibrahim Yahya Shayba Establis</v>
      </c>
    </row>
    <row r="62" spans="1:3" x14ac:dyDescent="0.3">
      <c r="A62">
        <v>3000463</v>
      </c>
      <c r="B62" s="7">
        <v>2</v>
      </c>
      <c r="C62" t="str">
        <f>VLOOKUP(A62,Sheet4!A:B,2,0)</f>
        <v>Nasser Al Moubayed Sons Trading Com</v>
      </c>
    </row>
    <row r="63" spans="1:3" x14ac:dyDescent="0.3">
      <c r="A63">
        <v>1000915</v>
      </c>
      <c r="B63" s="7">
        <v>2</v>
      </c>
      <c r="C63" t="str">
        <f>VLOOKUP(A63,Sheet4!A:B,2,0)</f>
        <v>Modern House Trading Est</v>
      </c>
    </row>
    <row r="64" spans="1:3" x14ac:dyDescent="0.3">
      <c r="A64">
        <v>1000798</v>
      </c>
      <c r="B64" s="7">
        <v>2</v>
      </c>
      <c r="C64" t="str">
        <f>VLOOKUP(A64,Sheet4!A:B,2,0)</f>
        <v>Hussain Fahad Metaab AlMaziad</v>
      </c>
    </row>
    <row r="65" spans="1:3" x14ac:dyDescent="0.3">
      <c r="A65">
        <v>1000559</v>
      </c>
      <c r="B65" s="7">
        <v>2</v>
      </c>
      <c r="C65" t="str">
        <f>VLOOKUP(A65,'[1]AR vs Collections 31.05.2025'!$B$566:$C$585,2,0)</f>
        <v>SAUDI TELECOM COMPANY</v>
      </c>
    </row>
    <row r="66" spans="1:3" x14ac:dyDescent="0.3">
      <c r="A66">
        <v>1000852</v>
      </c>
      <c r="B66" s="7">
        <v>2</v>
      </c>
      <c r="C66" t="s">
        <v>78</v>
      </c>
    </row>
    <row r="67" spans="1:3" x14ac:dyDescent="0.3">
      <c r="A67">
        <v>1000950</v>
      </c>
      <c r="B67" s="7">
        <v>2</v>
      </c>
      <c r="C67" t="s">
        <v>109</v>
      </c>
    </row>
    <row r="68" spans="1:3" x14ac:dyDescent="0.3">
      <c r="A68">
        <v>2000596</v>
      </c>
      <c r="B68" s="7">
        <v>2</v>
      </c>
      <c r="C68" t="s">
        <v>210</v>
      </c>
    </row>
    <row r="69" spans="1:3" x14ac:dyDescent="0.3">
      <c r="A69">
        <v>1001008</v>
      </c>
      <c r="B69" s="7">
        <v>2</v>
      </c>
      <c r="C69" t="str">
        <f>VLOOKUP(A69,Sheet4!A:B,2,0)</f>
        <v>TRENDYOL AL ARABIA For Trading Comp</v>
      </c>
    </row>
    <row r="70" spans="1:3" x14ac:dyDescent="0.3">
      <c r="A70">
        <v>2000630</v>
      </c>
      <c r="B70" s="7">
        <v>2</v>
      </c>
      <c r="C70" t="str">
        <f>VLOOKUP(A70,Sheet4!A:B,2,0)</f>
        <v>Laser Trading Est</v>
      </c>
    </row>
    <row r="71" spans="1:3" x14ac:dyDescent="0.3">
      <c r="A71">
        <v>1001017</v>
      </c>
      <c r="B71" s="7">
        <v>2</v>
      </c>
      <c r="C71" t="str">
        <f>VLOOKUP(A71,Sheet4!A:B,2,0)</f>
        <v>Electronics House Trading Est</v>
      </c>
    </row>
    <row r="72" spans="1:3" x14ac:dyDescent="0.3">
      <c r="A72">
        <v>1000872</v>
      </c>
      <c r="B72" s="7">
        <v>2</v>
      </c>
      <c r="C72" t="str">
        <f>VLOOKUP(A72,Sheet4!A:B,2,0)</f>
        <v>ASHKAAL TRADING EST</v>
      </c>
    </row>
    <row r="73" spans="1:3" x14ac:dyDescent="0.3">
      <c r="A73">
        <v>1001024</v>
      </c>
      <c r="B73" s="7">
        <v>2</v>
      </c>
      <c r="C73" t="str">
        <f>VLOOKUP(A73,Sheet4!A:B,2,0)</f>
        <v>The Saudi Company for Tools and Har</v>
      </c>
    </row>
    <row r="74" spans="1:3" x14ac:dyDescent="0.3">
      <c r="A74">
        <v>3000429</v>
      </c>
      <c r="B74" s="7">
        <v>2</v>
      </c>
      <c r="C74" t="str">
        <f>VLOOKUP(A74,Sheet4!A:B,2,0)</f>
        <v>Ayman Ahmed Ali Al-Jarafi</v>
      </c>
    </row>
    <row r="75" spans="1:3" x14ac:dyDescent="0.3">
      <c r="A75">
        <v>2000239</v>
      </c>
      <c r="B75" s="7">
        <v>2</v>
      </c>
      <c r="C75" t="str">
        <f>VLOOKUP(A75,Sheet4!A:B,2,0)</f>
        <v>Ehsas Al Salam Trading Co.</v>
      </c>
    </row>
    <row r="76" spans="1:3" x14ac:dyDescent="0.3">
      <c r="A76">
        <v>1000857</v>
      </c>
      <c r="B76" s="7">
        <v>2</v>
      </c>
      <c r="C76" t="str">
        <f>VLOOKUP(A76,Sheet4!A:B,2,0)</f>
        <v>Cold Corner Company for selling</v>
      </c>
    </row>
    <row r="77" spans="1:3" x14ac:dyDescent="0.3">
      <c r="A77">
        <v>2000293</v>
      </c>
      <c r="B77" s="7">
        <v>2</v>
      </c>
      <c r="C77" t="str">
        <f>VLOOKUP(A77,Sheet4!A:B,2,0)</f>
        <v>First Business Company</v>
      </c>
    </row>
    <row r="78" spans="1:3" x14ac:dyDescent="0.3">
      <c r="A78">
        <v>1000869</v>
      </c>
      <c r="B78" s="7">
        <v>2</v>
      </c>
      <c r="C78" t="str">
        <f>VLOOKUP(A78,Sheet4!A:B,2,0)</f>
        <v>Daerah Al Hadaf Trading Est</v>
      </c>
    </row>
    <row r="79" spans="1:3" x14ac:dyDescent="0.3">
      <c r="A79">
        <v>2000443</v>
      </c>
      <c r="B79" s="7">
        <v>2</v>
      </c>
      <c r="C79" t="s">
        <v>136</v>
      </c>
    </row>
    <row r="80" spans="1:3" x14ac:dyDescent="0.3">
      <c r="A80">
        <v>2000609</v>
      </c>
      <c r="B80" s="7">
        <v>2</v>
      </c>
      <c r="C80" t="str">
        <f>VLOOKUP(A80,Sheet4!A:B,2,0)</f>
        <v>Jawharat Al Janoub Trading Company</v>
      </c>
    </row>
    <row r="81" spans="1:3" x14ac:dyDescent="0.3">
      <c r="A81">
        <v>2000511</v>
      </c>
      <c r="B81" s="7">
        <v>2</v>
      </c>
      <c r="C81" t="s">
        <v>208</v>
      </c>
    </row>
    <row r="82" spans="1:3" x14ac:dyDescent="0.3">
      <c r="A82">
        <v>2000624</v>
      </c>
      <c r="B82" s="7">
        <v>2</v>
      </c>
      <c r="C82" t="str">
        <f>VLOOKUP(A82,Sheet4!A:B,2,0)</f>
        <v>Osmantec Trading Company</v>
      </c>
    </row>
    <row r="83" spans="1:3" x14ac:dyDescent="0.3">
      <c r="A83">
        <v>2000527</v>
      </c>
      <c r="B83" s="7">
        <v>2</v>
      </c>
      <c r="C83" t="str">
        <f>VLOOKUP(A83,Sheet4!A:B,2,0)</f>
        <v>Al'afdal Modern Trading Company</v>
      </c>
    </row>
    <row r="84" spans="1:3" x14ac:dyDescent="0.3">
      <c r="A84">
        <v>2000631</v>
      </c>
      <c r="B84" s="7">
        <v>2</v>
      </c>
      <c r="C84" t="str">
        <f>VLOOKUP(A84,Sheet4!A:B,2,0)</f>
        <v>Alaa Abdullah Abdul Wahid Al Ghamdi</v>
      </c>
    </row>
    <row r="85" spans="1:3" x14ac:dyDescent="0.3">
      <c r="A85">
        <v>2000536</v>
      </c>
      <c r="B85" s="7">
        <v>2</v>
      </c>
      <c r="C85" t="str">
        <f>VLOOKUP(A85,Sheet4!A:B,2,0)</f>
        <v>Naabi Trading Company</v>
      </c>
    </row>
    <row r="86" spans="1:3" x14ac:dyDescent="0.3">
      <c r="A86">
        <v>1000803</v>
      </c>
      <c r="B86" s="7">
        <v>2</v>
      </c>
      <c r="C86" t="s">
        <v>92</v>
      </c>
    </row>
    <row r="87" spans="1:3" x14ac:dyDescent="0.3">
      <c r="A87">
        <v>2000537</v>
      </c>
      <c r="B87" s="7">
        <v>2</v>
      </c>
      <c r="C87" t="str">
        <f>VLOOKUP(A87,Sheet4!A:B,2,0)</f>
        <v>Saif Mansoor Al Harbi Est.</v>
      </c>
    </row>
    <row r="88" spans="1:3" x14ac:dyDescent="0.3">
      <c r="A88">
        <v>2000696</v>
      </c>
      <c r="B88" s="7">
        <v>2</v>
      </c>
      <c r="C88" t="str">
        <f>VLOOKUP(A88,Sheet4!A:B,2,0)</f>
        <v>Blue Smart Company for Electronic D</v>
      </c>
    </row>
    <row r="89" spans="1:3" x14ac:dyDescent="0.3">
      <c r="A89">
        <v>2000538</v>
      </c>
      <c r="B89" s="7">
        <v>2</v>
      </c>
      <c r="C89" t="str">
        <f>VLOOKUP(A89,Sheet4!A:B,2,0)</f>
        <v>Qimmat Maysan Home Appliances</v>
      </c>
    </row>
    <row r="90" spans="1:3" x14ac:dyDescent="0.3">
      <c r="A90">
        <v>1000815</v>
      </c>
      <c r="B90" s="7">
        <v>2</v>
      </c>
      <c r="C90" t="s">
        <v>50</v>
      </c>
    </row>
    <row r="91" spans="1:3" x14ac:dyDescent="0.3">
      <c r="A91">
        <v>2000544</v>
      </c>
      <c r="B91" s="7">
        <v>2</v>
      </c>
      <c r="C91" t="str">
        <f>VLOOKUP(A91,Sheet4!A:B,2,0)</f>
        <v>Kaya Alowla Trading Company</v>
      </c>
    </row>
    <row r="92" spans="1:3" x14ac:dyDescent="0.3">
      <c r="A92">
        <v>1000830</v>
      </c>
      <c r="B92" s="7">
        <v>2</v>
      </c>
      <c r="C92" t="str">
        <f>VLOOKUP(A92,Sheet4!A:B,2,0)</f>
        <v>Alinthalaq Trading Establishment</v>
      </c>
    </row>
    <row r="93" spans="1:3" x14ac:dyDescent="0.3">
      <c r="A93">
        <v>2000556</v>
      </c>
      <c r="B93" s="7">
        <v>2</v>
      </c>
      <c r="C93" t="str">
        <f>VLOOKUP(A93,Sheet4!A:B,2,0)</f>
        <v>Lamsa al Hawa Al Asri Trading Co</v>
      </c>
    </row>
    <row r="94" spans="1:3" x14ac:dyDescent="0.3">
      <c r="A94">
        <v>3000443</v>
      </c>
      <c r="B94" s="7">
        <v>2</v>
      </c>
      <c r="C94" t="str">
        <f>VLOOKUP(A94,Sheet4!A:B,2,0)</f>
        <v>AlAmakin Group of Companies Ltd.</v>
      </c>
    </row>
    <row r="95" spans="1:3" x14ac:dyDescent="0.3">
      <c r="A95">
        <v>2000562</v>
      </c>
      <c r="B95" s="7">
        <v>2</v>
      </c>
      <c r="C95" t="s">
        <v>171</v>
      </c>
    </row>
    <row r="96" spans="1:3" x14ac:dyDescent="0.3">
      <c r="A96">
        <v>3000458</v>
      </c>
      <c r="B96" s="7">
        <v>2</v>
      </c>
      <c r="C96" t="str">
        <f>VLOOKUP(A96,Sheet4!A:B,2,0)</f>
        <v>AL MOTAWA TRADING COMPANY</v>
      </c>
    </row>
    <row r="97" spans="1:3" x14ac:dyDescent="0.3">
      <c r="A97">
        <v>1000769</v>
      </c>
      <c r="B97" s="7">
        <v>2</v>
      </c>
      <c r="C97" t="s">
        <v>35</v>
      </c>
    </row>
    <row r="98" spans="1:3" x14ac:dyDescent="0.3">
      <c r="A98">
        <v>1000865</v>
      </c>
      <c r="B98" s="7">
        <v>2</v>
      </c>
      <c r="C98" t="s">
        <v>84</v>
      </c>
    </row>
    <row r="99" spans="1:3" x14ac:dyDescent="0.3">
      <c r="A99">
        <v>2000567</v>
      </c>
      <c r="B99" s="7">
        <v>2</v>
      </c>
      <c r="C99" t="str">
        <f>VLOOKUP(A99,Sheet4!A:B,2,0)</f>
        <v>Emtyaz Al Reyadah Trading Est.</v>
      </c>
    </row>
    <row r="100" spans="1:3" x14ac:dyDescent="0.3">
      <c r="A100">
        <v>1000787</v>
      </c>
      <c r="B100" s="7">
        <v>2</v>
      </c>
      <c r="C100" t="s">
        <v>54</v>
      </c>
    </row>
    <row r="101" spans="1:3" x14ac:dyDescent="0.3">
      <c r="A101">
        <v>1000808</v>
      </c>
      <c r="B101" s="7">
        <v>2</v>
      </c>
      <c r="C101" t="s">
        <v>72</v>
      </c>
    </row>
    <row r="102" spans="1:3" x14ac:dyDescent="0.3">
      <c r="A102">
        <v>7000028</v>
      </c>
      <c r="B102" s="7">
        <v>1</v>
      </c>
      <c r="C102" t="str">
        <f>VLOOKUP(A102,Sheet1!A:B,2,0)</f>
        <v>The Copyright Promotions Licensing</v>
      </c>
    </row>
    <row r="103" spans="1:3" x14ac:dyDescent="0.3">
      <c r="A103">
        <v>1001030</v>
      </c>
      <c r="B103" s="7">
        <v>1</v>
      </c>
      <c r="C103" t="str">
        <f>VLOOKUP(A103,Sheet1!A:B,2,0)</f>
        <v>Folt for Home Appliances Est</v>
      </c>
    </row>
    <row r="104" spans="1:3" x14ac:dyDescent="0.3">
      <c r="A104" t="s">
        <v>332</v>
      </c>
      <c r="B104" s="7">
        <v>1</v>
      </c>
      <c r="C104" t="str">
        <f>VLOOKUP(A104,Sheet1!A:B,2,0)</f>
        <v>Level-UP </v>
      </c>
    </row>
    <row r="105" spans="1:3" x14ac:dyDescent="0.3">
      <c r="A105">
        <v>1000633</v>
      </c>
      <c r="B105" s="7">
        <v>1</v>
      </c>
      <c r="C105" t="str">
        <f>VLOOKUP(A105,Sheet1!A:B,2,0)</f>
        <v>Needs Electronics Company</v>
      </c>
    </row>
    <row r="106" spans="1:3" x14ac:dyDescent="0.3">
      <c r="A106">
        <v>5000013</v>
      </c>
      <c r="B106" s="7">
        <v>1</v>
      </c>
      <c r="C106" t="str">
        <f>VLOOKUP(A106,Sheet1!A:B,2,0)</f>
        <v>CR Gassim  SVC</v>
      </c>
    </row>
    <row r="107" spans="1:3" x14ac:dyDescent="0.3">
      <c r="A107">
        <v>1000255</v>
      </c>
      <c r="B107" s="7">
        <v>1</v>
      </c>
      <c r="C107" t="str">
        <f>VLOOKUP(A107,'[1]AR vs Collections 31.05.2025'!$B$566:$C$585,2,0)</f>
        <v>Gulf Co for Direct Distribution</v>
      </c>
    </row>
    <row r="108" spans="1:3" x14ac:dyDescent="0.3">
      <c r="A108" t="s">
        <v>308</v>
      </c>
      <c r="B108" s="7">
        <v>1</v>
      </c>
      <c r="C108" t="str">
        <f>VLOOKUP(A108,Sheet1!A:B,2,0)</f>
        <v>Granada Mall Showroom</v>
      </c>
    </row>
    <row r="109" spans="1:3" x14ac:dyDescent="0.3">
      <c r="A109">
        <v>2000263</v>
      </c>
      <c r="B109" s="7">
        <v>1</v>
      </c>
      <c r="C109" t="str">
        <f>VLOOKUP(A109,Sheet1!A:B,2,0)</f>
        <v>EDDY United Co. Ltd.(Head Office)</v>
      </c>
    </row>
    <row r="110" spans="1:3" x14ac:dyDescent="0.3">
      <c r="A110">
        <v>1000889</v>
      </c>
      <c r="B110" s="7">
        <v>1</v>
      </c>
      <c r="C110" t="str">
        <f>VLOOKUP(A110,Sheet1!A:B,2,0)</f>
        <v>Mehour Air Conditioning Co for Home</v>
      </c>
    </row>
    <row r="111" spans="1:3" x14ac:dyDescent="0.3">
      <c r="A111">
        <v>1000532</v>
      </c>
      <c r="B111" s="7">
        <v>1</v>
      </c>
      <c r="C111" t="str">
        <f>VLOOKUP(A111,'[1]AR vs Collections 31.05.2025'!$B$566:$C$585,2,0)</f>
        <v>Abaad Al-Jeel Company for</v>
      </c>
    </row>
    <row r="112" spans="1:3" x14ac:dyDescent="0.3">
      <c r="A112">
        <v>2000151</v>
      </c>
      <c r="B112" s="7">
        <v>1</v>
      </c>
      <c r="C112" t="str">
        <f>VLOOKUP(A112,Sheet1!A:B,2,0)</f>
        <v>Al-Nagham Al-Ranan Est</v>
      </c>
    </row>
    <row r="113" spans="1:3" x14ac:dyDescent="0.3">
      <c r="A113">
        <v>2000422</v>
      </c>
      <c r="B113" s="7">
        <v>1</v>
      </c>
      <c r="C113" t="str">
        <f>VLOOKUP(A113,Sheet1!A:B,2,0)</f>
        <v>Zelal al jasmin Trading</v>
      </c>
    </row>
    <row r="114" spans="1:3" x14ac:dyDescent="0.3">
      <c r="A114">
        <v>7000001</v>
      </c>
      <c r="B114" s="7">
        <v>1</v>
      </c>
      <c r="C114" t="str">
        <f>VLOOKUP(A114,Sheet1!A:B,2,0)</f>
        <v>Sony Middle East And Africa</v>
      </c>
    </row>
    <row r="115" spans="1:3" x14ac:dyDescent="0.3">
      <c r="A115">
        <v>1000912</v>
      </c>
      <c r="B115" s="7">
        <v>1</v>
      </c>
      <c r="C115" t="str">
        <f>VLOOKUP(A115,'[1]AR vs Collections 31.05.2025'!$B$566:$C$585,2,0)</f>
        <v>Al Khunaizan Trading Company</v>
      </c>
    </row>
    <row r="116" spans="1:3" x14ac:dyDescent="0.3">
      <c r="A116">
        <v>1400002400</v>
      </c>
      <c r="B116" s="7">
        <v>1</v>
      </c>
      <c r="C116" t="str">
        <f>VLOOKUP(A116,Sheet1!A:B,2,0)</f>
        <v>Modern Media System</v>
      </c>
    </row>
    <row r="117" spans="1:3" x14ac:dyDescent="0.3">
      <c r="A117">
        <v>2000455</v>
      </c>
      <c r="B117" s="7">
        <v>1</v>
      </c>
      <c r="C117" t="str">
        <f>VLOOKUP(A117,'[1]AR vs Collections 31.05.2025'!$B$566:$C$585,2,0)</f>
        <v>Ghadeer Abdullah Al-Salem Trading</v>
      </c>
    </row>
    <row r="118" spans="1:3" x14ac:dyDescent="0.3">
      <c r="A118" t="s">
        <v>354</v>
      </c>
      <c r="B118" s="7">
        <v>1</v>
      </c>
      <c r="C118" t="str">
        <f>VLOOKUP(A118,Sheet1!A:B,2,0)</f>
        <v>MECL-KHB-Al Hassa Showroo</v>
      </c>
    </row>
    <row r="119" spans="1:3" x14ac:dyDescent="0.3">
      <c r="A119">
        <v>1000283</v>
      </c>
      <c r="B119" s="7">
        <v>1</v>
      </c>
      <c r="C119" t="str">
        <f>VLOOKUP(A119,Sheet1!A:B,2,0)</f>
        <v>The group El-Emar Gulf International</v>
      </c>
    </row>
    <row r="120" spans="1:3" x14ac:dyDescent="0.3">
      <c r="A120">
        <v>3000406</v>
      </c>
      <c r="B120" s="7">
        <v>1</v>
      </c>
      <c r="C120" t="str">
        <f>VLOOKUP(A120,Sheet1!A:B,2,0)</f>
        <v>Future Smart Cards Trading Corporation</v>
      </c>
    </row>
    <row r="121" spans="1:3" x14ac:dyDescent="0.3">
      <c r="A121">
        <v>2000505</v>
      </c>
      <c r="B121" s="7">
        <v>1</v>
      </c>
      <c r="C121" t="str">
        <f>VLOOKUP(A121,Sheet1!A:B,2,0)</f>
        <v>Modern Nagham Trading Est.</v>
      </c>
    </row>
    <row r="122" spans="1:3" x14ac:dyDescent="0.3">
      <c r="A122">
        <v>1000840</v>
      </c>
      <c r="B122" s="7">
        <v>1</v>
      </c>
      <c r="C122" t="str">
        <f>VLOOKUP(A122,Sheet1!A:B,2,0)</f>
        <v>Rahi Corporation for Communications</v>
      </c>
    </row>
    <row r="123" spans="1:3" x14ac:dyDescent="0.3">
      <c r="A123">
        <v>1000876</v>
      </c>
      <c r="B123" s="7">
        <v>1</v>
      </c>
      <c r="C123" t="str">
        <f>VLOOKUP(A123,Sheet1!A:B,2,0)</f>
        <v>Adawliah Company for Electronic App</v>
      </c>
    </row>
    <row r="124" spans="1:3" x14ac:dyDescent="0.3">
      <c r="A124">
        <v>3000469</v>
      </c>
      <c r="B124" s="7">
        <v>1</v>
      </c>
      <c r="C124" t="str">
        <f>VLOOKUP(A124,Sheet1!A:B,2,0)</f>
        <v>ABYAT SAUDI BUIDLNG MATERRIALS COMP</v>
      </c>
    </row>
    <row r="125" spans="1:3" x14ac:dyDescent="0.3">
      <c r="A125">
        <v>1000662</v>
      </c>
      <c r="B125" s="7">
        <v>1</v>
      </c>
      <c r="C125" t="str">
        <f>VLOOKUP(A125,Sheet1!A:B,2,0)</f>
        <v>Game Of The Age</v>
      </c>
    </row>
    <row r="126" spans="1:3" x14ac:dyDescent="0.3">
      <c r="A126">
        <v>5000002</v>
      </c>
      <c r="B126" s="7">
        <v>1</v>
      </c>
      <c r="C126" t="str">
        <f>VLOOKUP(A126,Sheet1!A:B,2,0)</f>
        <v>WR Makkah SVC</v>
      </c>
    </row>
    <row r="127" spans="1:3" x14ac:dyDescent="0.3">
      <c r="A127">
        <v>1000677</v>
      </c>
      <c r="B127" s="7">
        <v>1</v>
      </c>
      <c r="C127" t="str">
        <f>VLOOKUP(A127,Sheet1!A:B,2,0)</f>
        <v>SADY AL MAJD TRADING</v>
      </c>
    </row>
    <row r="128" spans="1:3" x14ac:dyDescent="0.3">
      <c r="A128">
        <v>5000039</v>
      </c>
      <c r="B128" s="7">
        <v>1</v>
      </c>
      <c r="C128" t="str">
        <f>VLOOKUP(A128,Sheet1!A:B,2,0)</f>
        <v>Al Burkan Maintenance Company</v>
      </c>
    </row>
    <row r="129" spans="1:3" x14ac:dyDescent="0.3">
      <c r="A129">
        <v>2000519</v>
      </c>
      <c r="B129" s="7">
        <v>1</v>
      </c>
      <c r="C129" t="str">
        <f>VLOOKUP(A129,Sheet1!A:B,2,0)</f>
        <v>Albait Alshaml for Trading Est.</v>
      </c>
    </row>
    <row r="130" spans="1:3" x14ac:dyDescent="0.3">
      <c r="A130">
        <v>7000016</v>
      </c>
      <c r="B130" s="7">
        <v>1</v>
      </c>
      <c r="C130" t="str">
        <f>VLOOKUP(A130,Sheet1!A:B,2,0)</f>
        <v>Nexstgo Company Limited</v>
      </c>
    </row>
    <row r="131" spans="1:3" x14ac:dyDescent="0.3">
      <c r="A131">
        <v>1000682</v>
      </c>
      <c r="B131" s="7">
        <v>1</v>
      </c>
      <c r="C131" t="str">
        <f>VLOOKUP(A131,Sheet1!A:B,2,0)</f>
        <v>Mobile Telecommunications Company</v>
      </c>
    </row>
    <row r="132" spans="1:3" x14ac:dyDescent="0.3">
      <c r="A132">
        <v>7000036</v>
      </c>
      <c r="B132" s="7">
        <v>1</v>
      </c>
      <c r="C132" t="str">
        <f>VLOOKUP(A132,Sheet1!A:B,2,0)</f>
        <v>Al Qadi Pharmacy &amp; Establishment LLC</v>
      </c>
    </row>
    <row r="133" spans="1:3" x14ac:dyDescent="0.3">
      <c r="A133">
        <v>1000707</v>
      </c>
      <c r="B133" s="7">
        <v>1</v>
      </c>
      <c r="C133" t="str">
        <f>VLOOKUP(A133,Sheet1!A:B,2,0)</f>
        <v>Kabsat Al Taqnyah for Trading &amp;</v>
      </c>
    </row>
    <row r="134" spans="1:3" x14ac:dyDescent="0.3">
      <c r="A134">
        <v>1400006100</v>
      </c>
      <c r="B134" s="7">
        <v>1</v>
      </c>
      <c r="C134" t="str">
        <f>VLOOKUP(A134,Sheet1!A:B,2,0)</f>
        <v>Electronics &amp; Systems Holding Company</v>
      </c>
    </row>
    <row r="135" spans="1:3" x14ac:dyDescent="0.3">
      <c r="A135">
        <v>1000464</v>
      </c>
      <c r="B135" s="7">
        <v>1</v>
      </c>
      <c r="C135" t="str">
        <f>VLOOKUP(A135,Sheet1!A:B,2,0)</f>
        <v>Rising Stars Trading Co.</v>
      </c>
    </row>
    <row r="136" spans="1:3" x14ac:dyDescent="0.3">
      <c r="A136" t="s">
        <v>352</v>
      </c>
      <c r="B136" s="7">
        <v>1</v>
      </c>
      <c r="C136" t="str">
        <f>VLOOKUP(A136,Sheet1!A:B,2,0)</f>
        <v>MECL-JED-La Terra Mall Sh</v>
      </c>
    </row>
    <row r="137" spans="1:3" x14ac:dyDescent="0.3">
      <c r="A137">
        <v>2000530</v>
      </c>
      <c r="B137" s="7">
        <v>1</v>
      </c>
      <c r="C137" t="str">
        <f>VLOOKUP(A137,Sheet1!A:B,2,0)</f>
        <v>Sabah Home Appliances Company</v>
      </c>
    </row>
    <row r="138" spans="1:3" x14ac:dyDescent="0.3">
      <c r="A138" t="s">
        <v>324</v>
      </c>
      <c r="B138" s="7">
        <v>1</v>
      </c>
      <c r="C138" t="str">
        <f>VLOOKUP(A138,Sheet1!A:B,2,0)</f>
        <v>La Terra Showroom</v>
      </c>
    </row>
    <row r="139" spans="1:3" x14ac:dyDescent="0.3">
      <c r="A139">
        <v>1000712</v>
      </c>
      <c r="B139" s="7">
        <v>1</v>
      </c>
      <c r="C139" t="str">
        <f>VLOOKUP(A139,Sheet1!A:B,2,0)</f>
        <v>Samsung Electronics SaudiArabia Ltd</v>
      </c>
    </row>
    <row r="140" spans="1:3" x14ac:dyDescent="0.3">
      <c r="A140" t="s">
        <v>338</v>
      </c>
      <c r="B140" s="7">
        <v>1</v>
      </c>
      <c r="C140" t="str">
        <f>VLOOKUP(A140,Sheet1!A:B,2,0)</f>
        <v>Sony Showroom Warood</v>
      </c>
    </row>
    <row r="141" spans="1:3" x14ac:dyDescent="0.3">
      <c r="A141">
        <v>2000532</v>
      </c>
      <c r="B141" s="7">
        <v>1</v>
      </c>
      <c r="C141" t="str">
        <f>VLOOKUP(A141,Sheet1!A:B,2,0)</f>
        <v>Infinity Tech Trading Company</v>
      </c>
    </row>
    <row r="142" spans="1:3" x14ac:dyDescent="0.3">
      <c r="A142">
        <v>1000820</v>
      </c>
      <c r="B142" s="7">
        <v>1</v>
      </c>
      <c r="C142" t="str">
        <f>VLOOKUP(A142,Sheet1!A:B,2,0)</f>
        <v>Sada Saif Trading Company</v>
      </c>
    </row>
    <row r="143" spans="1:3" x14ac:dyDescent="0.3">
      <c r="A143">
        <v>2000534</v>
      </c>
      <c r="B143" s="7">
        <v>1</v>
      </c>
      <c r="C143" t="str">
        <f>VLOOKUP(A143,Sheet1!A:B,2,0)</f>
        <v>Summer Breeze Trading Company</v>
      </c>
    </row>
    <row r="144" spans="1:3" x14ac:dyDescent="0.3">
      <c r="A144">
        <v>1000839</v>
      </c>
      <c r="B144" s="7">
        <v>1</v>
      </c>
      <c r="C144" t="str">
        <f>VLOOKUP(A144,Sheet1!A:B,2,0)</f>
        <v>Mohammed Mishaan Abdulaziz</v>
      </c>
    </row>
    <row r="145" spans="1:3" x14ac:dyDescent="0.3">
      <c r="A145">
        <v>2000535</v>
      </c>
      <c r="B145" s="7">
        <v>1</v>
      </c>
      <c r="C145" t="str">
        <f>VLOOKUP(A145,Sheet1!A:B,2,0)</f>
        <v>Ayaz Trading Company Limited</v>
      </c>
    </row>
    <row r="146" spans="1:3" x14ac:dyDescent="0.3">
      <c r="A146">
        <v>1001027</v>
      </c>
      <c r="B146" s="7">
        <v>1</v>
      </c>
      <c r="C146" t="str">
        <f>VLOOKUP(A146,Sheet1!A:B,2,0)</f>
        <v>Smart Sources Company</v>
      </c>
    </row>
    <row r="147" spans="1:3" x14ac:dyDescent="0.3">
      <c r="A147">
        <v>1000565</v>
      </c>
      <c r="B147" s="7">
        <v>1</v>
      </c>
      <c r="C147" t="str">
        <f>VLOOKUP(A147,Sheet1!A:B,2,0)</f>
        <v>Zill Najd Trading Co.</v>
      </c>
    </row>
    <row r="148" spans="1:3" x14ac:dyDescent="0.3">
      <c r="A148">
        <v>2000002</v>
      </c>
      <c r="B148" s="7">
        <v>1</v>
      </c>
      <c r="C148" t="str">
        <f>VLOOKUP(A148,Sheet1!A:B,2,0)</f>
        <v>Al-Sairafi.Est.</v>
      </c>
    </row>
    <row r="149" spans="1:3" x14ac:dyDescent="0.3">
      <c r="A149">
        <v>1000927</v>
      </c>
      <c r="B149" s="7">
        <v>1</v>
      </c>
      <c r="C149" t="str">
        <f>VLOOKUP(A149,'[1]AR vs Collections 31.05.2025'!$B$566:$C$585,2,0)</f>
        <v>Diyar Al Moobtekron International C</v>
      </c>
    </row>
    <row r="150" spans="1:3" x14ac:dyDescent="0.3">
      <c r="A150">
        <v>2000113</v>
      </c>
      <c r="B150" s="7">
        <v>1</v>
      </c>
      <c r="C150" t="str">
        <f>VLOOKUP(A150,Sheet1!A:B,2,0)</f>
        <v>Zaid First Trading Company</v>
      </c>
    </row>
    <row r="151" spans="1:3" x14ac:dyDescent="0.3">
      <c r="A151">
        <v>1000929</v>
      </c>
      <c r="B151" s="7">
        <v>1</v>
      </c>
      <c r="C151" t="str">
        <f>VLOOKUP(A151,Sheet1!A:B,2,0)</f>
        <v>Todo commercial company</v>
      </c>
    </row>
    <row r="152" spans="1:3" x14ac:dyDescent="0.3">
      <c r="A152">
        <v>5000000</v>
      </c>
      <c r="B152" s="7">
        <v>1</v>
      </c>
      <c r="C152" t="str">
        <f>VLOOKUP(A152,Sheet1!A:B,2,0)</f>
        <v>WR Jeddah Main SVC</v>
      </c>
    </row>
    <row r="153" spans="1:3" x14ac:dyDescent="0.3">
      <c r="A153">
        <v>1000720</v>
      </c>
      <c r="B153" s="7">
        <v>1</v>
      </c>
      <c r="C153" t="str">
        <f>VLOOKUP(A153,Sheet1!A:B,2,0)</f>
        <v>QOMRA PRO. COMPANY</v>
      </c>
    </row>
    <row r="154" spans="1:3" x14ac:dyDescent="0.3">
      <c r="A154">
        <v>5000006</v>
      </c>
      <c r="B154" s="7">
        <v>1</v>
      </c>
      <c r="C154" t="str">
        <f>VLOOKUP(A154,Sheet1!A:B,2,0)</f>
        <v>ER Al Khobar Main SVC</v>
      </c>
    </row>
    <row r="155" spans="1:3" x14ac:dyDescent="0.3">
      <c r="A155">
        <v>1000932</v>
      </c>
      <c r="B155" s="7">
        <v>1</v>
      </c>
      <c r="C155" t="str">
        <f>VLOOKUP(A155,Sheet1!A:B,2,0)</f>
        <v>Abdullah Al Othaim Markets Company</v>
      </c>
    </row>
    <row r="156" spans="1:3" x14ac:dyDescent="0.3">
      <c r="A156">
        <v>5000036</v>
      </c>
      <c r="B156" s="7">
        <v>1</v>
      </c>
      <c r="C156" t="str">
        <f>VLOOKUP(A156,Sheet1!A:B,2,0)</f>
        <v>Al Mogamsi Trading Est.</v>
      </c>
    </row>
    <row r="157" spans="1:3" x14ac:dyDescent="0.3">
      <c r="A157">
        <v>2000545</v>
      </c>
      <c r="B157" s="7">
        <v>1</v>
      </c>
      <c r="C157" t="str">
        <f>VLOOKUP(A157,Sheet1!A:B,2,0)</f>
        <v>Al Isthawrah Trading Est.</v>
      </c>
    </row>
    <row r="158" spans="1:3" x14ac:dyDescent="0.3">
      <c r="A158">
        <v>5000044</v>
      </c>
      <c r="B158" s="7">
        <v>1</v>
      </c>
      <c r="C158" t="str">
        <f>VLOOKUP(A158,Sheet1!A:B,2,0)</f>
        <v>Tamer Arabia Trading Company</v>
      </c>
    </row>
    <row r="159" spans="1:3" x14ac:dyDescent="0.3">
      <c r="A159">
        <v>1000762</v>
      </c>
      <c r="B159" s="7">
        <v>1</v>
      </c>
      <c r="C159" t="str">
        <f>VLOOKUP(A159,Sheet1!A:B,2,0)</f>
        <v>Naser Saif Al Sahimi Al Qahtani</v>
      </c>
    </row>
    <row r="160" spans="1:3" x14ac:dyDescent="0.3">
      <c r="A160">
        <v>7000008</v>
      </c>
      <c r="B160" s="7">
        <v>1</v>
      </c>
      <c r="C160" t="str">
        <f>VLOOKUP(A160,Sheet1!A:B,2,0)</f>
        <v>DEVCO FZ LLC</v>
      </c>
    </row>
    <row r="161" spans="1:3" x14ac:dyDescent="0.3">
      <c r="A161">
        <v>1000941</v>
      </c>
      <c r="B161" s="7">
        <v>1</v>
      </c>
      <c r="C161" t="str">
        <f>VLOOKUP(A161,Sheet1!A:B,2,0)</f>
        <v>Nadi Alqabdah Alrukmiyya Sports Company</v>
      </c>
    </row>
    <row r="162" spans="1:3" x14ac:dyDescent="0.3">
      <c r="A162">
        <v>7000022</v>
      </c>
      <c r="B162" s="7">
        <v>1</v>
      </c>
      <c r="C162" t="str">
        <f>VLOOKUP(A162,Sheet1!A:B,2,0)</f>
        <v>Hisense Electronics LLC</v>
      </c>
    </row>
    <row r="163" spans="1:3" x14ac:dyDescent="0.3">
      <c r="A163">
        <v>1000764</v>
      </c>
      <c r="B163" s="7">
        <v>1</v>
      </c>
      <c r="C163" t="str">
        <f>VLOOKUP(A163,Sheet1!A:B,2,0)</f>
        <v>YouGotaGift</v>
      </c>
    </row>
    <row r="164" spans="1:3" x14ac:dyDescent="0.3">
      <c r="A164">
        <v>7000032</v>
      </c>
      <c r="B164" s="7">
        <v>1</v>
      </c>
      <c r="C164" t="str">
        <f>VLOOKUP(A164,Sheet1!A:B,2,0)</f>
        <v>Admiral Appliances &amp; Electro</v>
      </c>
    </row>
    <row r="165" spans="1:3" x14ac:dyDescent="0.3">
      <c r="A165">
        <v>1000944</v>
      </c>
      <c r="B165" s="7">
        <v>1</v>
      </c>
      <c r="C165" t="str">
        <f>VLOOKUP(A165,Sheet1!A:B,2,0)</f>
        <v>Abayat Saudi Building Materials Co</v>
      </c>
    </row>
    <row r="166" spans="1:3" x14ac:dyDescent="0.3">
      <c r="A166">
        <v>7000039</v>
      </c>
      <c r="B166" s="7">
        <v>1</v>
      </c>
      <c r="C166" t="str">
        <f>VLOOKUP(A166,Sheet1!A:B,2,0)</f>
        <v>WORLD INVENTIONS TRADING FZE</v>
      </c>
    </row>
    <row r="167" spans="1:3" x14ac:dyDescent="0.3">
      <c r="A167">
        <v>1000946</v>
      </c>
      <c r="B167" s="7">
        <v>1</v>
      </c>
      <c r="C167" t="str">
        <f>VLOOKUP(A167,Sheet1!A:B,2,0)</f>
        <v>ABRAJ ALWATANIA TRADING EST</v>
      </c>
    </row>
    <row r="168" spans="1:3" x14ac:dyDescent="0.3">
      <c r="A168">
        <v>1400005700</v>
      </c>
      <c r="B168" s="7">
        <v>1</v>
      </c>
      <c r="C168" t="str">
        <f>VLOOKUP(A168,Sheet1!A:B,2,0)</f>
        <v>First Distribution Company</v>
      </c>
    </row>
    <row r="169" spans="1:3" x14ac:dyDescent="0.3">
      <c r="A169">
        <v>1000947</v>
      </c>
      <c r="B169" s="7">
        <v>1</v>
      </c>
      <c r="C169" t="str">
        <f>VLOOKUP(A169,Sheet1!A:B,2,0)</f>
        <v>Sama Warehouses for Logistics</v>
      </c>
    </row>
    <row r="170" spans="1:3" x14ac:dyDescent="0.3">
      <c r="A170" t="s">
        <v>304</v>
      </c>
      <c r="B170" s="7">
        <v>1</v>
      </c>
      <c r="C170" t="str">
        <f>VLOOKUP(A170,Sheet1!A:B,2,0)</f>
        <v>Dammam 2 Showroom</v>
      </c>
    </row>
    <row r="171" spans="1:3" x14ac:dyDescent="0.3">
      <c r="A171">
        <v>2000572</v>
      </c>
      <c r="B171" s="7">
        <v>1</v>
      </c>
      <c r="C171" t="str">
        <f>VLOOKUP(A171,Sheet1!A:B,2,0)</f>
        <v>Toy Ship Foundation</v>
      </c>
    </row>
    <row r="172" spans="1:3" x14ac:dyDescent="0.3">
      <c r="A172" t="s">
        <v>312</v>
      </c>
      <c r="B172" s="7">
        <v>1</v>
      </c>
      <c r="C172" t="str">
        <f>VLOOKUP(A172,Sheet1!A:B,2,0)</f>
        <v>MECL-JED Tabuk Showroom</v>
      </c>
    </row>
    <row r="173" spans="1:3" x14ac:dyDescent="0.3">
      <c r="A173">
        <v>1000786</v>
      </c>
      <c r="B173" s="7">
        <v>1</v>
      </c>
      <c r="C173" t="str">
        <f>VLOOKUP(A173,Sheet1!A:B,2,0)</f>
        <v>ONE TIME CUSTOMER-PANA</v>
      </c>
    </row>
    <row r="174" spans="1:3" x14ac:dyDescent="0.3">
      <c r="A174" t="s">
        <v>318</v>
      </c>
      <c r="B174" s="7">
        <v>1</v>
      </c>
      <c r="C174" t="str">
        <f>VLOOKUP(A174,Sheet1!A:B,2,0)</f>
        <v>MECL-KHB-King Fahd Showroom</v>
      </c>
    </row>
    <row r="175" spans="1:3" x14ac:dyDescent="0.3">
      <c r="A175">
        <v>1000948</v>
      </c>
      <c r="B175" s="7">
        <v>1</v>
      </c>
      <c r="C175" t="str">
        <f>VLOOKUP(A175,Sheet1!A:B,2,0)</f>
        <v>The third communication company for</v>
      </c>
    </row>
    <row r="176" spans="1:3" x14ac:dyDescent="0.3">
      <c r="A176" t="s">
        <v>358</v>
      </c>
      <c r="B176" s="7">
        <v>1</v>
      </c>
      <c r="C176" t="str">
        <f>VLOOKUP(A176,Sheet1!A:B,2,0)</f>
        <v>MECL-KHB-RAKA Showroom</v>
      </c>
    </row>
    <row r="177" spans="1:3" x14ac:dyDescent="0.3">
      <c r="A177">
        <v>2000581</v>
      </c>
      <c r="B177" s="7">
        <v>1</v>
      </c>
      <c r="C177" t="str">
        <f>VLOOKUP(A177,Sheet1!A:B,2,0)</f>
        <v>PIXEL CO LTD</v>
      </c>
    </row>
    <row r="178" spans="1:3" x14ac:dyDescent="0.3">
      <c r="A178" t="s">
        <v>328</v>
      </c>
      <c r="B178" s="7">
        <v>1</v>
      </c>
      <c r="C178" t="str">
        <f>VLOOKUP(A178,Sheet1!A:B,2,0)</f>
        <v>SONYWORLD.SA</v>
      </c>
    </row>
    <row r="179" spans="1:3" x14ac:dyDescent="0.3">
      <c r="A179">
        <v>2000587</v>
      </c>
      <c r="B179" s="7">
        <v>1</v>
      </c>
      <c r="C179" t="str">
        <f>VLOOKUP(A179,Sheet1!A:B,2,0)</f>
        <v>Smart Air Conditioning Corner</v>
      </c>
    </row>
    <row r="180" spans="1:3" x14ac:dyDescent="0.3">
      <c r="A180" t="s">
        <v>334</v>
      </c>
      <c r="B180" s="7">
        <v>1</v>
      </c>
      <c r="C180" t="str">
        <f>VLOOKUP(A180,Sheet1!A:B,2,0)</f>
        <v>MECL-RYD-Dar Al Wakalat Showroom</v>
      </c>
    </row>
    <row r="181" spans="1:3" x14ac:dyDescent="0.3">
      <c r="A181">
        <v>1000790</v>
      </c>
      <c r="B181" s="7">
        <v>1</v>
      </c>
      <c r="C181" t="str">
        <f>VLOOKUP(A181,Sheet1!A:B,2,0)</f>
        <v>Zed Game Trading Company</v>
      </c>
    </row>
    <row r="182" spans="1:3" x14ac:dyDescent="0.3">
      <c r="A182" t="s">
        <v>342</v>
      </c>
      <c r="B182" s="7">
        <v>1</v>
      </c>
      <c r="C182" t="str">
        <f>VLOOKUP(A182,Sheet1!A:B,2,0)</f>
        <v>Mestores Online Store</v>
      </c>
    </row>
    <row r="183" spans="1:3" x14ac:dyDescent="0.3">
      <c r="A183">
        <v>2000595</v>
      </c>
      <c r="B183" s="7">
        <v>1</v>
      </c>
      <c r="C183" t="str">
        <f>VLOOKUP(A183,Sheet1!A:B,2,0)</f>
        <v>Ghassan Trading Company</v>
      </c>
    </row>
    <row r="184" spans="1:3" x14ac:dyDescent="0.3">
      <c r="A184">
        <v>3000421</v>
      </c>
      <c r="B184" s="7">
        <v>1</v>
      </c>
      <c r="C184" t="str">
        <f>VLOOKUP(A184,Sheet1!A:B,2,0)</f>
        <v>Air Care Company for Air</v>
      </c>
    </row>
    <row r="185" spans="1:3" x14ac:dyDescent="0.3">
      <c r="A185">
        <v>1000882</v>
      </c>
      <c r="B185" s="7">
        <v>1</v>
      </c>
      <c r="C185" t="str">
        <f>VLOOKUP(A185,Sheet1!A:B,2,0)</f>
        <v>Abdelrahman Abdelaziz Elhaqbani For</v>
      </c>
    </row>
    <row r="186" spans="1:3" x14ac:dyDescent="0.3">
      <c r="A186">
        <v>1000205</v>
      </c>
      <c r="B186" s="7">
        <v>1</v>
      </c>
      <c r="C186" t="str">
        <f>VLOOKUP(A186,Sheet1!A:B,2,0)</f>
        <v>Abdulla Al Hazlol Est, For Trd</v>
      </c>
    </row>
    <row r="187" spans="1:3" x14ac:dyDescent="0.3">
      <c r="A187">
        <v>2000597</v>
      </c>
      <c r="B187" s="7">
        <v>1</v>
      </c>
      <c r="C187" t="str">
        <f>VLOOKUP(A187,Sheet1!A:B,2,0)</f>
        <v>Al Raed Co for Home Appliances</v>
      </c>
    </row>
    <row r="188" spans="1:3" x14ac:dyDescent="0.3">
      <c r="A188">
        <v>1000836</v>
      </c>
      <c r="B188" s="7">
        <v>1</v>
      </c>
      <c r="C188" t="str">
        <f>VLOOKUP(A188,Sheet1!A:B,2,0)</f>
        <v>Jonon Allobah Trading Company</v>
      </c>
    </row>
    <row r="189" spans="1:3" x14ac:dyDescent="0.3">
      <c r="A189">
        <v>2000602</v>
      </c>
      <c r="B189" s="7">
        <v>1</v>
      </c>
      <c r="C189" t="str">
        <f>VLOOKUP(A189,Sheet1!A:B,2,0)</f>
        <v>Somaya Mohammed Al-Ghamdi</v>
      </c>
    </row>
    <row r="190" spans="1:3" x14ac:dyDescent="0.3">
      <c r="A190">
        <v>3000434</v>
      </c>
      <c r="B190" s="7">
        <v>1</v>
      </c>
      <c r="C190" t="str">
        <f>VLOOKUP(A190,Sheet1!A:B,2,0)</f>
        <v>Youssef Abdel Wahab Al Mousa</v>
      </c>
    </row>
    <row r="191" spans="1:3" x14ac:dyDescent="0.3">
      <c r="A191">
        <v>1000422</v>
      </c>
      <c r="B191" s="7">
        <v>1</v>
      </c>
      <c r="C191" t="s">
        <v>277</v>
      </c>
    </row>
    <row r="192" spans="1:3" x14ac:dyDescent="0.3">
      <c r="A192">
        <v>1000841</v>
      </c>
      <c r="B192" s="7">
        <v>1</v>
      </c>
      <c r="C192" t="str">
        <f>VLOOKUP(A192,Sheet1!A:B,2,0)</f>
        <v>NAV Trading Company</v>
      </c>
    </row>
    <row r="193" spans="1:3" x14ac:dyDescent="0.3">
      <c r="A193">
        <v>1000434</v>
      </c>
      <c r="B193" s="7">
        <v>1</v>
      </c>
      <c r="C193" t="str">
        <f>VLOOKUP(A193,'[1]AR vs Collections 31.05.2025'!$B$566:$C$585,2,0)</f>
        <v>Tech ly</v>
      </c>
    </row>
    <row r="194" spans="1:3" x14ac:dyDescent="0.3">
      <c r="A194">
        <v>3000441</v>
      </c>
      <c r="B194" s="7">
        <v>1</v>
      </c>
      <c r="C194" t="str">
        <f>VLOOKUP(A194,Sheet1!A:B,2,0)</f>
        <v>Mohammed Bin Ali Bin Al Hamri</v>
      </c>
    </row>
    <row r="195" spans="1:3" x14ac:dyDescent="0.3">
      <c r="A195">
        <v>1000951</v>
      </c>
      <c r="B195" s="7">
        <v>1</v>
      </c>
      <c r="C195" t="str">
        <f>VLOOKUP(A195,Sheet1!A:B,2,0)</f>
        <v>Technical Refrigeration W</v>
      </c>
    </row>
    <row r="196" spans="1:3" x14ac:dyDescent="0.3">
      <c r="A196">
        <v>1001031</v>
      </c>
      <c r="B196" s="7">
        <v>1</v>
      </c>
      <c r="C196" t="str">
        <f>VLOOKUP(A196,Sheet1!A:B,2,0)</f>
        <v>WINDMASON CO</v>
      </c>
    </row>
    <row r="197" spans="1:3" x14ac:dyDescent="0.3">
      <c r="A197">
        <v>2000610</v>
      </c>
      <c r="B197" s="7">
        <v>1</v>
      </c>
      <c r="C197" t="str">
        <f>VLOOKUP(A197,Sheet1!A:B,2,0)</f>
        <v>Developed Devices Commercial Compan</v>
      </c>
    </row>
    <row r="198" spans="1:3" x14ac:dyDescent="0.3">
      <c r="A198">
        <v>2000006</v>
      </c>
      <c r="B198" s="7">
        <v>1</v>
      </c>
      <c r="C198" t="str">
        <f>VLOOKUP(A198,Sheet1!A:B,2,0)</f>
        <v>Sultan Bawahab_Binzagar St</v>
      </c>
    </row>
    <row r="199" spans="1:3" x14ac:dyDescent="0.3">
      <c r="A199">
        <v>1000796</v>
      </c>
      <c r="B199" s="7">
        <v>1</v>
      </c>
      <c r="C199" t="str">
        <f>VLOOKUP(A199,Sheet1!A:B,2,0)</f>
        <v>شركة هواوي تك. انفستمنت العربية</v>
      </c>
    </row>
    <row r="200" spans="1:3" x14ac:dyDescent="0.3">
      <c r="A200">
        <v>1000863</v>
      </c>
      <c r="B200" s="7">
        <v>1</v>
      </c>
      <c r="C200" t="str">
        <f>VLOOKUP(A200,Sheet1!A:B,2,0)</f>
        <v>One Time Customer-HAP</v>
      </c>
    </row>
    <row r="201" spans="1:3" x14ac:dyDescent="0.3">
      <c r="A201">
        <v>2000613</v>
      </c>
      <c r="B201" s="7">
        <v>1</v>
      </c>
      <c r="C201" t="str">
        <f>VLOOKUP(A201,Sheet1!A:B,2,0)</f>
        <v>Ahmed Saeed Ahmed Barboud Home Appl</v>
      </c>
    </row>
    <row r="202" spans="1:3" x14ac:dyDescent="0.3">
      <c r="A202">
        <v>3000496</v>
      </c>
      <c r="B202" s="7">
        <v>1</v>
      </c>
      <c r="C202" t="str">
        <f>VLOOKUP(A202,Sheet1!A:B,2,0)</f>
        <v>شركة وهج الاصيل للمقاولات شركة شخص واحد</v>
      </c>
    </row>
    <row r="203" spans="1:3" x14ac:dyDescent="0.3">
      <c r="A203">
        <v>2000614</v>
      </c>
      <c r="B203" s="7">
        <v>1</v>
      </c>
      <c r="C203" t="str">
        <f>VLOOKUP(A203,Sheet1!A:B,2,0)</f>
        <v>Al Rowad Al Mumayaz Home</v>
      </c>
    </row>
    <row r="204" spans="1:3" x14ac:dyDescent="0.3">
      <c r="A204">
        <v>1000870</v>
      </c>
      <c r="B204" s="7">
        <v>1</v>
      </c>
      <c r="C204" t="str">
        <f>VLOOKUP(A204,Sheet1!A:B,2,0)</f>
        <v>Blu store Company</v>
      </c>
    </row>
    <row r="205" spans="1:3" x14ac:dyDescent="0.3">
      <c r="A205">
        <v>1000970</v>
      </c>
      <c r="B205" s="7">
        <v>1</v>
      </c>
      <c r="C205" t="str">
        <f>VLOOKUP(A205,Sheet1!A:B,2,0)</f>
        <v>Tajer BV for IT Co One Person Compa</v>
      </c>
    </row>
    <row r="206" spans="1:3" x14ac:dyDescent="0.3">
      <c r="A206">
        <v>5000001</v>
      </c>
      <c r="B206" s="7">
        <v>1</v>
      </c>
      <c r="C206" t="str">
        <f>VLOOKUP(A206,Sheet1!A:B,2,0)</f>
        <v>WR Khamis Mushayat SVC</v>
      </c>
    </row>
    <row r="207" spans="1:3" x14ac:dyDescent="0.3">
      <c r="A207">
        <v>2000618</v>
      </c>
      <c r="B207" s="7">
        <v>1</v>
      </c>
      <c r="C207" t="str">
        <f>VLOOKUP(A207,Sheet1!A:B,2,0)</f>
        <v>ABDUL RAHMAN ABDUL HAAFEZ BIN SHAIH</v>
      </c>
    </row>
    <row r="208" spans="1:3" x14ac:dyDescent="0.3">
      <c r="A208">
        <v>5000003</v>
      </c>
      <c r="B208" s="7">
        <v>1</v>
      </c>
      <c r="C208" t="str">
        <f>VLOOKUP(A208,Sheet1!A:B,2,0)</f>
        <v>WR Madina SVC</v>
      </c>
    </row>
    <row r="209" spans="1:3" x14ac:dyDescent="0.3">
      <c r="A209">
        <v>1000979</v>
      </c>
      <c r="B209" s="7">
        <v>1</v>
      </c>
      <c r="C209" t="str">
        <f>VLOOKUP(A209,Sheet1!A:B,2,0)</f>
        <v>Zension Saudi Information</v>
      </c>
    </row>
    <row r="210" spans="1:3" x14ac:dyDescent="0.3">
      <c r="A210">
        <v>5000011</v>
      </c>
      <c r="B210" s="7">
        <v>1</v>
      </c>
      <c r="C210" t="str">
        <f>VLOOKUP(A210,Sheet1!A:B,2,0)</f>
        <v>CR Riyadh Main SVC</v>
      </c>
    </row>
    <row r="211" spans="1:3" x14ac:dyDescent="0.3">
      <c r="A211">
        <v>2000627</v>
      </c>
      <c r="B211" s="7">
        <v>1</v>
      </c>
      <c r="C211" t="str">
        <f>VLOOKUP(A211,Sheet1!A:B,2,0)</f>
        <v>Majed Golden Trading Company</v>
      </c>
    </row>
    <row r="212" spans="1:3" x14ac:dyDescent="0.3">
      <c r="A212">
        <v>5000033</v>
      </c>
      <c r="B212" s="7">
        <v>1</v>
      </c>
      <c r="C212" t="str">
        <f>VLOOKUP(A212,Sheet1!A:B,2,0)</f>
        <v>FAKHROO INTERNATIONAL</v>
      </c>
    </row>
    <row r="213" spans="1:3" x14ac:dyDescent="0.3">
      <c r="A213">
        <v>1000443</v>
      </c>
      <c r="B213" s="7">
        <v>1</v>
      </c>
      <c r="C213" t="str">
        <f>VLOOKUP(A213,Sheet1!A:B,2,0)</f>
        <v>Al-Matajer  Ltd (Virgin  HO )</v>
      </c>
    </row>
    <row r="214" spans="1:3" x14ac:dyDescent="0.3">
      <c r="A214">
        <v>5000037</v>
      </c>
      <c r="B214" s="7">
        <v>1</v>
      </c>
      <c r="C214" t="str">
        <f>VLOOKUP(A214,Sheet1!A:B,2,0)</f>
        <v>Holoul Electronic Waste Treatment</v>
      </c>
    </row>
    <row r="215" spans="1:3" x14ac:dyDescent="0.3">
      <c r="A215">
        <v>1000982</v>
      </c>
      <c r="B215" s="7">
        <v>1</v>
      </c>
      <c r="C215" t="str">
        <f>VLOOKUP(A215,Sheet1!A:B,2,0)</f>
        <v>Abdulrahman Mohammed AlMohaimid Tra</v>
      </c>
    </row>
    <row r="216" spans="1:3" x14ac:dyDescent="0.3">
      <c r="A216">
        <v>5000040</v>
      </c>
      <c r="B216" s="7">
        <v>1</v>
      </c>
      <c r="C216" t="str">
        <f>VLOOKUP(A216,Sheet1!A:B,2,0)</f>
        <v>MAQASHA Trading Est.</v>
      </c>
    </row>
    <row r="217" spans="1:3" x14ac:dyDescent="0.3">
      <c r="A217">
        <v>1000985</v>
      </c>
      <c r="B217" s="7">
        <v>1</v>
      </c>
      <c r="C217" t="str">
        <f>VLOOKUP(A217,Sheet1!A:B,2,0)</f>
        <v>Establishment ALBRIQ ALSATI For log</v>
      </c>
    </row>
    <row r="218" spans="1:3" x14ac:dyDescent="0.3">
      <c r="A218">
        <v>5000045</v>
      </c>
      <c r="B218" s="7">
        <v>1</v>
      </c>
      <c r="C218" t="str">
        <f>VLOOKUP(A218,Sheet1!A:B,2,0)</f>
        <v>MECL-CR-RYD HA SVC</v>
      </c>
    </row>
    <row r="219" spans="1:3" x14ac:dyDescent="0.3">
      <c r="A219">
        <v>2000632</v>
      </c>
      <c r="B219" s="7">
        <v>1</v>
      </c>
      <c r="C219" t="str">
        <f>VLOOKUP(A219,Sheet1!A:B,2,0)</f>
        <v>Abdullah Abdul Wahed AlGhamdi Tradi</v>
      </c>
    </row>
    <row r="220" spans="1:3" x14ac:dyDescent="0.3">
      <c r="A220">
        <v>7000004</v>
      </c>
      <c r="B220" s="7">
        <v>1</v>
      </c>
      <c r="C220" t="str">
        <f>VLOOKUP(A220,Sheet1!A:B,2,0)</f>
        <v>Sony Interactive Entertainment Europe</v>
      </c>
    </row>
    <row r="221" spans="1:3" x14ac:dyDescent="0.3">
      <c r="A221">
        <v>1000988</v>
      </c>
      <c r="B221" s="7">
        <v>1</v>
      </c>
      <c r="C221" t="str">
        <f>VLOOKUP(A221,Sheet1!A:B,2,0)</f>
        <v>Manarat Ebla Company Ltd</v>
      </c>
    </row>
    <row r="222" spans="1:3" x14ac:dyDescent="0.3">
      <c r="A222">
        <v>7000009</v>
      </c>
      <c r="B222" s="7">
        <v>1</v>
      </c>
      <c r="C222" t="str">
        <f>VLOOKUP(A222,Sheet1!A:B,2,0)</f>
        <v>Epay Digital Middle East FZ-LLC</v>
      </c>
    </row>
    <row r="223" spans="1:3" x14ac:dyDescent="0.3">
      <c r="A223">
        <v>1000991</v>
      </c>
      <c r="B223" s="7">
        <v>1</v>
      </c>
      <c r="C223" t="str">
        <f>VLOOKUP(A223,Sheet1!A:B,2,0)</f>
        <v>Ashwered Air Conditioning Est</v>
      </c>
    </row>
    <row r="224" spans="1:3" x14ac:dyDescent="0.3">
      <c r="A224">
        <v>7000021</v>
      </c>
      <c r="B224" s="7">
        <v>1</v>
      </c>
      <c r="C224" t="str">
        <f>VLOOKUP(A224,Sheet1!A:B,2,0)</f>
        <v>Panasonic Marketing Middle East</v>
      </c>
    </row>
    <row r="225" spans="1:3" x14ac:dyDescent="0.3">
      <c r="A225" t="s">
        <v>344</v>
      </c>
      <c r="B225" s="7">
        <v>1</v>
      </c>
      <c r="C225" t="str">
        <f>VLOOKUP(A225,Sheet1!A:B,2,0)</f>
        <v>Tabuk Showroom</v>
      </c>
    </row>
    <row r="226" spans="1:3" x14ac:dyDescent="0.3">
      <c r="A226">
        <v>7000026</v>
      </c>
      <c r="B226" s="7">
        <v>1</v>
      </c>
      <c r="C226" t="s">
        <v>294</v>
      </c>
    </row>
    <row r="227" spans="1:3" x14ac:dyDescent="0.3">
      <c r="A227" t="s">
        <v>346</v>
      </c>
      <c r="B227" s="7">
        <v>1</v>
      </c>
      <c r="C227" t="str">
        <f>VLOOKUP(A227,Sheet1!A:B,2,0)</f>
        <v>Dar Al Wakalat Showroom</v>
      </c>
    </row>
    <row r="228" spans="1:3" x14ac:dyDescent="0.3">
      <c r="A228">
        <v>7000031</v>
      </c>
      <c r="B228" s="7">
        <v>1</v>
      </c>
      <c r="C228" t="str">
        <f>VLOOKUP(A228,Sheet1!A:B,2,0)</f>
        <v>M M R General Trading L.L.C</v>
      </c>
    </row>
    <row r="229" spans="1:3" x14ac:dyDescent="0.3">
      <c r="A229">
        <v>1001000</v>
      </c>
      <c r="B229" s="7">
        <v>1</v>
      </c>
      <c r="C229" t="str">
        <f>VLOOKUP(A229,Sheet1!A:B,2,0)</f>
        <v>Roh Al Tajrubah Company</v>
      </c>
    </row>
    <row r="230" spans="1:3" x14ac:dyDescent="0.3">
      <c r="A230">
        <v>7000035</v>
      </c>
      <c r="B230" s="7">
        <v>1</v>
      </c>
      <c r="C230" t="str">
        <f>VLOOKUP(A230,Sheet1!A:B,2,0)</f>
        <v>Arcelik Hitachi Home Appliances</v>
      </c>
    </row>
    <row r="231" spans="1:3" x14ac:dyDescent="0.3">
      <c r="A231">
        <v>1000809</v>
      </c>
      <c r="B231" s="7">
        <v>1</v>
      </c>
      <c r="C231" t="str">
        <f>VLOOKUP(A231,Sheet1!A:B,2,0)</f>
        <v>Abdulaziz Hassan Alshethry Co.</v>
      </c>
    </row>
    <row r="232" spans="1:3" x14ac:dyDescent="0.3">
      <c r="A232">
        <v>7000037</v>
      </c>
      <c r="B232" s="7">
        <v>1</v>
      </c>
      <c r="C232" t="str">
        <f>VLOOKUP(A232,Sheet1!A:B,2,0)</f>
        <v>MEA Brands DMCC</v>
      </c>
    </row>
    <row r="233" spans="1:3" x14ac:dyDescent="0.3">
      <c r="A233">
        <v>1000632</v>
      </c>
      <c r="B233" s="7">
        <v>1</v>
      </c>
      <c r="C233" t="str">
        <f>VLOOKUP(A233,Sheet1!A:B,2,0)</f>
        <v>Irfan Moosa General Trading LLC</v>
      </c>
    </row>
    <row r="234" spans="1:3" x14ac:dyDescent="0.3">
      <c r="A234">
        <v>1400001700</v>
      </c>
      <c r="B234" s="7">
        <v>1</v>
      </c>
      <c r="C234" t="str">
        <f>VLOOKUP(A234,Sheet1!A:B,2,0)</f>
        <v>Alfa Co.</v>
      </c>
    </row>
    <row r="235" spans="1:3" x14ac:dyDescent="0.3">
      <c r="A235">
        <v>2000737</v>
      </c>
      <c r="B235" s="7">
        <v>1</v>
      </c>
      <c r="C235" t="str">
        <f>VLOOKUP(A235,Sheet1!A:B,2,0)</f>
        <v>Air Technologies Solutions Company</v>
      </c>
    </row>
    <row r="236" spans="1:3" x14ac:dyDescent="0.3">
      <c r="A236">
        <v>1400004200</v>
      </c>
      <c r="B236" s="7">
        <v>1</v>
      </c>
      <c r="C236" t="str">
        <f>VLOOKUP(A236,Sheet1!A:B,2,0)</f>
        <v>Al Faisalia Group Holding Co.</v>
      </c>
    </row>
    <row r="237" spans="1:3" x14ac:dyDescent="0.3">
      <c r="A237">
        <v>2000738</v>
      </c>
      <c r="B237" s="7">
        <v>1</v>
      </c>
      <c r="C237" t="str">
        <f>VLOOKUP(A237,Sheet1!A:B,2,0)</f>
        <v>Zagzoog For Home Appliances Co LTD</v>
      </c>
    </row>
    <row r="238" spans="1:3" x14ac:dyDescent="0.3">
      <c r="A238">
        <v>1400005800</v>
      </c>
      <c r="B238" s="7">
        <v>1</v>
      </c>
      <c r="C238" t="str">
        <f>VLOOKUP(A238,Sheet1!A:B,2,0)</f>
        <v>La3eb Limited Company</v>
      </c>
    </row>
    <row r="239" spans="1:3" x14ac:dyDescent="0.3">
      <c r="A239">
        <v>2000739</v>
      </c>
      <c r="B239" s="7">
        <v>1</v>
      </c>
      <c r="C239" t="str">
        <f>VLOOKUP(A239,Sheet1!A:B,2,0)</f>
        <v>Establishment MAKAN ALTUMAIEZ Comme</v>
      </c>
    </row>
    <row r="240" spans="1:3" x14ac:dyDescent="0.3">
      <c r="A240" t="s">
        <v>302</v>
      </c>
      <c r="B240" s="7">
        <v>1</v>
      </c>
      <c r="C240" t="str">
        <f>VLOOKUP(A240,Sheet1!A:B,2,0)</f>
        <v>Dammam Showroom</v>
      </c>
    </row>
    <row r="241" spans="1:3" x14ac:dyDescent="0.3">
      <c r="A241">
        <v>1000884</v>
      </c>
      <c r="B241" s="7">
        <v>1</v>
      </c>
      <c r="C241" t="str">
        <f>VLOOKUP(A241,Sheet1!A:B,2,0)</f>
        <v>Riyadh International Food Company</v>
      </c>
    </row>
    <row r="242" spans="1:3" x14ac:dyDescent="0.3">
      <c r="A242" t="s">
        <v>306</v>
      </c>
      <c r="B242" s="7">
        <v>1</v>
      </c>
      <c r="C242" t="str">
        <f>VLOOKUP(A242,Sheet1!A:B,2,0)</f>
        <v>La3eb</v>
      </c>
    </row>
    <row r="243" spans="1:3" x14ac:dyDescent="0.3">
      <c r="A243">
        <v>2000758</v>
      </c>
      <c r="B243" s="7">
        <v>1</v>
      </c>
      <c r="C243" t="str">
        <f>VLOOKUP(A243,Sheet1!A:B,2,0)</f>
        <v>Al Asar Al Naqi Air Conditioning an</v>
      </c>
    </row>
    <row r="244" spans="1:3" x14ac:dyDescent="0.3">
      <c r="A244" t="s">
        <v>310</v>
      </c>
      <c r="B244" s="7">
        <v>1</v>
      </c>
      <c r="C244" t="str">
        <f>VLOOKUP(A244,Sheet1!A:B,2,0)</f>
        <v>Hassa Showroom</v>
      </c>
    </row>
    <row r="245" spans="1:3" x14ac:dyDescent="0.3">
      <c r="A245">
        <v>2000766</v>
      </c>
      <c r="B245" s="7">
        <v>1</v>
      </c>
      <c r="C245" t="str">
        <f>VLOOKUP(A245,Sheet1!A:B,2,0)</f>
        <v>Raed Discounts Trading Company one</v>
      </c>
    </row>
    <row r="246" spans="1:3" x14ac:dyDescent="0.3">
      <c r="A246" t="s">
        <v>314</v>
      </c>
      <c r="B246" s="7">
        <v>1</v>
      </c>
      <c r="C246" t="str">
        <f>VLOOKUP(A246,Sheet1!A:B,2,0)</f>
        <v>MECL-JED-Khamis Mushayat Showroom</v>
      </c>
    </row>
    <row r="247" spans="1:3" x14ac:dyDescent="0.3">
      <c r="A247">
        <v>2000768</v>
      </c>
      <c r="B247" s="7">
        <v>1</v>
      </c>
      <c r="C247" t="str">
        <f>VLOOKUP(A247,Sheet1!A:B,2,0)</f>
        <v>Nestle Saudi Arabia LLC</v>
      </c>
    </row>
    <row r="248" spans="1:3" x14ac:dyDescent="0.3">
      <c r="A248" t="s">
        <v>316</v>
      </c>
      <c r="B248" s="7">
        <v>1</v>
      </c>
      <c r="C248" t="str">
        <f>VLOOKUP(A248,Sheet1!A:B,2,0)</f>
        <v>King Fahd Showroom</v>
      </c>
    </row>
    <row r="249" spans="1:3" x14ac:dyDescent="0.3">
      <c r="A249">
        <v>3000007</v>
      </c>
      <c r="B249" s="7">
        <v>1</v>
      </c>
      <c r="C249" t="str">
        <f>VLOOKUP(A249,Sheet1!A:B,2,0)</f>
        <v>Bu-Khamsin Est.For Elec.Equp.</v>
      </c>
    </row>
    <row r="250" spans="1:3" x14ac:dyDescent="0.3">
      <c r="A250" t="s">
        <v>320</v>
      </c>
      <c r="B250" s="7">
        <v>1</v>
      </c>
      <c r="C250" t="str">
        <f>VLOOKUP(A250,Sheet1!A:B,2,0)</f>
        <v>MECL-KHB-Dammam Showroom</v>
      </c>
    </row>
    <row r="251" spans="1:3" x14ac:dyDescent="0.3">
      <c r="A251">
        <v>1001016</v>
      </c>
      <c r="B251" s="7">
        <v>1</v>
      </c>
      <c r="C251" t="str">
        <f>VLOOKUP(A251,Sheet1!A:B,2,0)</f>
        <v>The Saudi Company for Tools and Har</v>
      </c>
    </row>
    <row r="252" spans="1:3" x14ac:dyDescent="0.3">
      <c r="A252" t="s">
        <v>356</v>
      </c>
      <c r="B252" s="7">
        <v>1</v>
      </c>
      <c r="C252" t="str">
        <f>VLOOKUP(A252,Sheet1!A:B,2,0)</f>
        <v>MECL-KHB-Dammam 2 FAISALI</v>
      </c>
    </row>
    <row r="253" spans="1:3" x14ac:dyDescent="0.3">
      <c r="A253">
        <v>3000080</v>
      </c>
      <c r="B253" s="7">
        <v>1</v>
      </c>
      <c r="C253" t="str">
        <f>VLOOKUP(A253,Sheet1!A:B,2,0)</f>
        <v>Al-Ilaiw Trading Co</v>
      </c>
    </row>
    <row r="254" spans="1:3" x14ac:dyDescent="0.3">
      <c r="A254" t="s">
        <v>322</v>
      </c>
      <c r="B254" s="7">
        <v>1</v>
      </c>
      <c r="C254" t="str">
        <f>VLOOKUP(A254,Sheet1!A:B,2,0)</f>
        <v>MECL-DAM-Aziziyah HA01</v>
      </c>
    </row>
    <row r="255" spans="1:3" x14ac:dyDescent="0.3">
      <c r="A255">
        <v>3000083</v>
      </c>
      <c r="B255" s="7">
        <v>1</v>
      </c>
      <c r="C255" t="str">
        <f>VLOOKUP(A255,Sheet1!A:B,2,0)</f>
        <v>Al-Haddad Trading Store</v>
      </c>
    </row>
    <row r="256" spans="1:3" x14ac:dyDescent="0.3">
      <c r="A256" t="s">
        <v>326</v>
      </c>
      <c r="B256" s="7">
        <v>1</v>
      </c>
      <c r="C256" t="str">
        <f>VLOOKUP(A256,Sheet1!A:B,2,0)</f>
        <v>Mestores.com</v>
      </c>
    </row>
    <row r="257" spans="1:3" x14ac:dyDescent="0.3">
      <c r="A257">
        <v>3000086</v>
      </c>
      <c r="B257" s="7">
        <v>1</v>
      </c>
      <c r="C257" t="str">
        <f>VLOOKUP(A257,Sheet1!A:B,2,0)</f>
        <v>Abdullah Ali Al-Dhamin &amp; Sons Co.</v>
      </c>
    </row>
    <row r="258" spans="1:3" x14ac:dyDescent="0.3">
      <c r="A258" t="s">
        <v>330</v>
      </c>
      <c r="B258" s="7">
        <v>1</v>
      </c>
      <c r="C258" t="str">
        <f>VLOOKUP(A258,Sheet1!A:B,2,0)</f>
        <v>Batha Showroom</v>
      </c>
    </row>
    <row r="259" spans="1:3" x14ac:dyDescent="0.3">
      <c r="A259">
        <v>1000819</v>
      </c>
      <c r="B259" s="7">
        <v>1</v>
      </c>
      <c r="C259" t="str">
        <f>VLOOKUP(A259,Sheet1!A:B,2,0)</f>
        <v>Sroor Obaid Alhamazani</v>
      </c>
    </row>
    <row r="260" spans="1:3" x14ac:dyDescent="0.3">
      <c r="A260" t="s">
        <v>360</v>
      </c>
      <c r="B260" s="7">
        <v>1</v>
      </c>
      <c r="C260" t="str">
        <f>VLOOKUP(A260,Sheet1!A:B,2,0)</f>
        <v>MECL-RYD-Batha Showroom</v>
      </c>
    </row>
    <row r="261" spans="1:3" x14ac:dyDescent="0.3">
      <c r="A261">
        <v>3000128</v>
      </c>
      <c r="B261" s="7">
        <v>1</v>
      </c>
      <c r="C261" t="str">
        <f>VLOOKUP(A261,Sheet1!A:B,2,0)</f>
        <v>Saudi Aramco</v>
      </c>
    </row>
    <row r="262" spans="1:3" x14ac:dyDescent="0.3">
      <c r="A262" t="s">
        <v>336</v>
      </c>
      <c r="B262" s="7">
        <v>1</v>
      </c>
      <c r="C262" t="str">
        <f>VLOOKUP(A262,Sheet1!A:B,2,0)</f>
        <v>MECL-RYD-Granada Center Showroom</v>
      </c>
    </row>
    <row r="263" spans="1:3" x14ac:dyDescent="0.3">
      <c r="A263">
        <v>3000141</v>
      </c>
      <c r="B263" s="7">
        <v>1</v>
      </c>
      <c r="C263" t="str">
        <f>VLOOKUP(A263,Sheet1!A:B,2,0)</f>
        <v>NASER MOHAMMED AL-BUQMI EST.</v>
      </c>
    </row>
    <row r="264" spans="1:3" x14ac:dyDescent="0.3">
      <c r="A264" t="s">
        <v>340</v>
      </c>
      <c r="B264" s="7">
        <v>1</v>
      </c>
      <c r="C264" t="str">
        <f>VLOOKUP(A264,Sheet1!A:B,2,0)</f>
        <v>MECL Ecommerce</v>
      </c>
    </row>
    <row r="265" spans="1:3" x14ac:dyDescent="0.3">
      <c r="A265">
        <v>3000307</v>
      </c>
      <c r="B265" s="7">
        <v>1</v>
      </c>
      <c r="C265" t="str">
        <f>VLOOKUP(A265,Sheet1!A:B,2,0)</f>
        <v>Moasasa Qannas Al Majrah</v>
      </c>
    </row>
    <row r="266" spans="1:3" x14ac:dyDescent="0.3">
      <c r="A266">
        <v>2000172</v>
      </c>
      <c r="B266" s="7">
        <v>1</v>
      </c>
      <c r="C266" t="str">
        <f>VLOOKUP(A266,Sheet1!A:B,2,0)</f>
        <v>Alireza Trading Company</v>
      </c>
    </row>
    <row r="267" spans="1:3" x14ac:dyDescent="0.3">
      <c r="A267">
        <v>3000336</v>
      </c>
      <c r="B267" s="7">
        <v>1</v>
      </c>
      <c r="C267" t="str">
        <f>VLOOKUP(A267,Sheet1!A:B,2,0)</f>
        <v>LAITH AL ARAB TRAD EST</v>
      </c>
    </row>
    <row r="268" spans="1:3" x14ac:dyDescent="0.3">
      <c r="A268" t="s">
        <v>348</v>
      </c>
      <c r="B268" s="7">
        <v>1</v>
      </c>
      <c r="C268" t="str">
        <f>VLOOKUP(A268,Sheet1!A:B,2,0)</f>
        <v>MECL-RYD-Warood Showroom</v>
      </c>
    </row>
    <row r="269" spans="1:3" x14ac:dyDescent="0.3">
      <c r="A269">
        <v>2000651</v>
      </c>
      <c r="B269" s="7">
        <v>1</v>
      </c>
      <c r="C269" t="str">
        <f>VLOOKUP(A269,Sheet1!A:B,2,0)</f>
        <v>Biladi Almutamayyizah Commercial Co</v>
      </c>
    </row>
    <row r="270" spans="1:3" x14ac:dyDescent="0.3">
      <c r="A270">
        <v>2000686</v>
      </c>
      <c r="B270" s="7">
        <v>1</v>
      </c>
      <c r="C270" t="str">
        <f>VLOOKUP(A270,Sheet1!A:B,2,0)</f>
        <v>Al Ain Al Mamoura Trading Company</v>
      </c>
    </row>
    <row r="271" spans="1:3" x14ac:dyDescent="0.3">
      <c r="A271" t="s">
        <v>365</v>
      </c>
      <c r="B271" s="7">
        <v>464</v>
      </c>
      <c r="C271" t="e">
        <f>VLOOKUP(A271,'[1]AR vs Collections 31.05.2025'!$B$566:$C$585,2,0)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54F4-BCEA-4A0E-81C5-B0E12012E7B1}">
  <dimension ref="A3:C337"/>
  <sheetViews>
    <sheetView topLeftCell="A4" zoomScale="145" zoomScaleNormal="145" workbookViewId="0">
      <selection activeCell="B2" sqref="B2"/>
    </sheetView>
  </sheetViews>
  <sheetFormatPr defaultRowHeight="14.4" x14ac:dyDescent="0.3"/>
  <cols>
    <col min="1" max="1" width="12.109375" bestFit="1" customWidth="1"/>
    <col min="2" max="2" width="40.5546875" bestFit="1" customWidth="1"/>
    <col min="3" max="3" width="5.44140625" bestFit="1" customWidth="1"/>
  </cols>
  <sheetData>
    <row r="3" spans="1:3" x14ac:dyDescent="0.3">
      <c r="A3" s="6" t="s">
        <v>371</v>
      </c>
    </row>
    <row r="4" spans="1:3" x14ac:dyDescent="0.3">
      <c r="A4" s="6" t="s">
        <v>364</v>
      </c>
      <c r="B4" s="6" t="s">
        <v>1</v>
      </c>
      <c r="C4" t="s">
        <v>367</v>
      </c>
    </row>
    <row r="5" spans="1:3" x14ac:dyDescent="0.3">
      <c r="A5">
        <v>1000001</v>
      </c>
      <c r="B5" t="s">
        <v>128</v>
      </c>
      <c r="C5" s="7">
        <v>1</v>
      </c>
    </row>
    <row r="6" spans="1:3" x14ac:dyDescent="0.3">
      <c r="A6">
        <v>1000001</v>
      </c>
      <c r="B6" t="s">
        <v>123</v>
      </c>
      <c r="C6" s="7">
        <v>1</v>
      </c>
    </row>
    <row r="7" spans="1:3" x14ac:dyDescent="0.3">
      <c r="A7">
        <v>1000001</v>
      </c>
      <c r="B7" t="s">
        <v>280</v>
      </c>
      <c r="C7" s="7">
        <v>1</v>
      </c>
    </row>
    <row r="8" spans="1:3" x14ac:dyDescent="0.3">
      <c r="A8">
        <v>1000001</v>
      </c>
      <c r="B8" t="s">
        <v>3</v>
      </c>
      <c r="C8" s="7">
        <v>1</v>
      </c>
    </row>
    <row r="9" spans="1:3" x14ac:dyDescent="0.3">
      <c r="A9">
        <v>1000001</v>
      </c>
      <c r="B9" t="s">
        <v>229</v>
      </c>
      <c r="C9" s="7">
        <v>1</v>
      </c>
    </row>
    <row r="10" spans="1:3" x14ac:dyDescent="0.3">
      <c r="A10">
        <v>1000001</v>
      </c>
      <c r="B10" t="s">
        <v>5</v>
      </c>
      <c r="C10" s="7">
        <v>1</v>
      </c>
    </row>
    <row r="11" spans="1:3" x14ac:dyDescent="0.3">
      <c r="A11">
        <v>1000001</v>
      </c>
      <c r="B11" t="s">
        <v>6</v>
      </c>
      <c r="C11" s="7">
        <v>1</v>
      </c>
    </row>
    <row r="12" spans="1:3" x14ac:dyDescent="0.3">
      <c r="A12">
        <v>1000013</v>
      </c>
      <c r="B12" t="s">
        <v>132</v>
      </c>
      <c r="C12" s="7">
        <v>1</v>
      </c>
    </row>
    <row r="13" spans="1:3" x14ac:dyDescent="0.3">
      <c r="A13">
        <v>1000013</v>
      </c>
      <c r="B13" t="s">
        <v>22</v>
      </c>
      <c r="C13" s="7">
        <v>1</v>
      </c>
    </row>
    <row r="14" spans="1:3" x14ac:dyDescent="0.3">
      <c r="A14">
        <v>1000013</v>
      </c>
      <c r="B14" t="s">
        <v>23</v>
      </c>
      <c r="C14" s="7">
        <v>1</v>
      </c>
    </row>
    <row r="15" spans="1:3" x14ac:dyDescent="0.3">
      <c r="A15">
        <v>1000013</v>
      </c>
      <c r="B15" t="s">
        <v>232</v>
      </c>
      <c r="C15" s="7">
        <v>1</v>
      </c>
    </row>
    <row r="16" spans="1:3" x14ac:dyDescent="0.3">
      <c r="A16">
        <v>1000013</v>
      </c>
      <c r="B16" t="s">
        <v>21</v>
      </c>
      <c r="C16" s="7">
        <v>1</v>
      </c>
    </row>
    <row r="17" spans="1:3" x14ac:dyDescent="0.3">
      <c r="A17">
        <v>1000013</v>
      </c>
      <c r="B17" t="s">
        <v>133</v>
      </c>
      <c r="C17" s="7">
        <v>1</v>
      </c>
    </row>
    <row r="18" spans="1:3" x14ac:dyDescent="0.3">
      <c r="A18">
        <v>1000013</v>
      </c>
      <c r="B18" t="s">
        <v>233</v>
      </c>
      <c r="C18" s="7">
        <v>1</v>
      </c>
    </row>
    <row r="19" spans="1:3" x14ac:dyDescent="0.3">
      <c r="A19">
        <v>1000057</v>
      </c>
      <c r="B19" t="s">
        <v>2</v>
      </c>
      <c r="C19" s="7">
        <v>5</v>
      </c>
    </row>
    <row r="20" spans="1:3" x14ac:dyDescent="0.3">
      <c r="A20">
        <v>1000057</v>
      </c>
      <c r="B20" t="s">
        <v>39</v>
      </c>
      <c r="C20" s="7">
        <v>1</v>
      </c>
    </row>
    <row r="21" spans="1:3" x14ac:dyDescent="0.3">
      <c r="A21">
        <v>1000079</v>
      </c>
      <c r="B21" t="s">
        <v>91</v>
      </c>
      <c r="C21" s="7">
        <v>3</v>
      </c>
    </row>
    <row r="22" spans="1:3" x14ac:dyDescent="0.3">
      <c r="A22">
        <v>1000089</v>
      </c>
      <c r="B22" t="s">
        <v>4</v>
      </c>
      <c r="C22" s="7">
        <v>5</v>
      </c>
    </row>
    <row r="23" spans="1:3" x14ac:dyDescent="0.3">
      <c r="A23">
        <v>1000089</v>
      </c>
      <c r="B23" t="s">
        <v>79</v>
      </c>
      <c r="C23" s="7">
        <v>1</v>
      </c>
    </row>
    <row r="24" spans="1:3" x14ac:dyDescent="0.3">
      <c r="A24">
        <v>1000089</v>
      </c>
      <c r="B24" t="s">
        <v>103</v>
      </c>
      <c r="C24" s="7">
        <v>1</v>
      </c>
    </row>
    <row r="25" spans="1:3" x14ac:dyDescent="0.3">
      <c r="A25">
        <v>1000089</v>
      </c>
      <c r="B25" t="s">
        <v>115</v>
      </c>
      <c r="C25" s="7">
        <v>1</v>
      </c>
    </row>
    <row r="26" spans="1:3" x14ac:dyDescent="0.3">
      <c r="A26">
        <v>1000185</v>
      </c>
      <c r="B26" t="s">
        <v>19</v>
      </c>
      <c r="C26" s="7">
        <v>1</v>
      </c>
    </row>
    <row r="27" spans="1:3" x14ac:dyDescent="0.3">
      <c r="A27">
        <v>1000185</v>
      </c>
      <c r="B27" t="s">
        <v>20</v>
      </c>
      <c r="C27" s="7">
        <v>1</v>
      </c>
    </row>
    <row r="28" spans="1:3" x14ac:dyDescent="0.3">
      <c r="A28">
        <v>1000185</v>
      </c>
      <c r="B28" t="s">
        <v>7</v>
      </c>
      <c r="C28" s="7">
        <v>1</v>
      </c>
    </row>
    <row r="29" spans="1:3" x14ac:dyDescent="0.3">
      <c r="A29">
        <v>1000205</v>
      </c>
      <c r="B29" t="s">
        <v>8</v>
      </c>
      <c r="C29" s="7">
        <v>1</v>
      </c>
    </row>
    <row r="30" spans="1:3" x14ac:dyDescent="0.3">
      <c r="A30">
        <v>1000255</v>
      </c>
      <c r="B30" t="s">
        <v>9</v>
      </c>
      <c r="C30" s="7">
        <v>1</v>
      </c>
    </row>
    <row r="31" spans="1:3" x14ac:dyDescent="0.3">
      <c r="A31">
        <v>1000283</v>
      </c>
      <c r="B31" t="s">
        <v>10</v>
      </c>
      <c r="C31" s="7">
        <v>1</v>
      </c>
    </row>
    <row r="32" spans="1:3" x14ac:dyDescent="0.3">
      <c r="A32">
        <v>1000422</v>
      </c>
      <c r="B32" t="s">
        <v>277</v>
      </c>
      <c r="C32" s="7">
        <v>1</v>
      </c>
    </row>
    <row r="33" spans="1:3" x14ac:dyDescent="0.3">
      <c r="A33">
        <v>1000434</v>
      </c>
      <c r="B33" t="s">
        <v>11</v>
      </c>
      <c r="C33" s="7">
        <v>1</v>
      </c>
    </row>
    <row r="34" spans="1:3" x14ac:dyDescent="0.3">
      <c r="A34">
        <v>1000443</v>
      </c>
      <c r="B34" t="s">
        <v>12</v>
      </c>
      <c r="C34" s="7">
        <v>1</v>
      </c>
    </row>
    <row r="35" spans="1:3" x14ac:dyDescent="0.3">
      <c r="A35">
        <v>1000464</v>
      </c>
      <c r="B35" t="s">
        <v>13</v>
      </c>
      <c r="C35" s="7">
        <v>1</v>
      </c>
    </row>
    <row r="36" spans="1:3" x14ac:dyDescent="0.3">
      <c r="A36">
        <v>1000471</v>
      </c>
      <c r="B36" t="s">
        <v>14</v>
      </c>
      <c r="C36" s="7">
        <v>2</v>
      </c>
    </row>
    <row r="37" spans="1:3" x14ac:dyDescent="0.3">
      <c r="A37">
        <v>1000471</v>
      </c>
      <c r="B37" t="s">
        <v>83</v>
      </c>
      <c r="C37" s="7">
        <v>2</v>
      </c>
    </row>
    <row r="38" spans="1:3" x14ac:dyDescent="0.3">
      <c r="A38">
        <v>1000480</v>
      </c>
      <c r="B38" t="s">
        <v>46</v>
      </c>
      <c r="C38" s="7">
        <v>2</v>
      </c>
    </row>
    <row r="39" spans="1:3" x14ac:dyDescent="0.3">
      <c r="A39">
        <v>1000480</v>
      </c>
      <c r="B39" t="s">
        <v>73</v>
      </c>
      <c r="C39" s="7">
        <v>1</v>
      </c>
    </row>
    <row r="40" spans="1:3" x14ac:dyDescent="0.3">
      <c r="A40">
        <v>1000480</v>
      </c>
      <c r="B40" t="s">
        <v>15</v>
      </c>
      <c r="C40" s="7">
        <v>1</v>
      </c>
    </row>
    <row r="41" spans="1:3" x14ac:dyDescent="0.3">
      <c r="A41">
        <v>1000532</v>
      </c>
      <c r="B41" t="s">
        <v>16</v>
      </c>
      <c r="C41" s="7">
        <v>1</v>
      </c>
    </row>
    <row r="42" spans="1:3" x14ac:dyDescent="0.3">
      <c r="A42">
        <v>1000559</v>
      </c>
      <c r="B42" t="s">
        <v>17</v>
      </c>
      <c r="C42" s="7">
        <v>1</v>
      </c>
    </row>
    <row r="43" spans="1:3" x14ac:dyDescent="0.3">
      <c r="A43">
        <v>1000559</v>
      </c>
      <c r="B43" t="s">
        <v>33</v>
      </c>
      <c r="C43" s="7">
        <v>1</v>
      </c>
    </row>
    <row r="44" spans="1:3" x14ac:dyDescent="0.3">
      <c r="A44">
        <v>1000565</v>
      </c>
      <c r="B44" t="s">
        <v>18</v>
      </c>
      <c r="C44" s="7">
        <v>1</v>
      </c>
    </row>
    <row r="45" spans="1:3" x14ac:dyDescent="0.3">
      <c r="A45">
        <v>1000632</v>
      </c>
      <c r="B45" t="s">
        <v>24</v>
      </c>
      <c r="C45" s="7">
        <v>1</v>
      </c>
    </row>
    <row r="46" spans="1:3" x14ac:dyDescent="0.3">
      <c r="A46">
        <v>1000633</v>
      </c>
      <c r="B46" t="s">
        <v>25</v>
      </c>
      <c r="C46" s="7">
        <v>1</v>
      </c>
    </row>
    <row r="47" spans="1:3" x14ac:dyDescent="0.3">
      <c r="A47">
        <v>1000639</v>
      </c>
      <c r="B47" t="s">
        <v>26</v>
      </c>
      <c r="C47" s="7">
        <v>3</v>
      </c>
    </row>
    <row r="48" spans="1:3" x14ac:dyDescent="0.3">
      <c r="A48">
        <v>1000639</v>
      </c>
      <c r="B48" t="s">
        <v>82</v>
      </c>
      <c r="C48" s="7">
        <v>1</v>
      </c>
    </row>
    <row r="49" spans="1:3" x14ac:dyDescent="0.3">
      <c r="A49">
        <v>1000662</v>
      </c>
      <c r="B49" t="s">
        <v>27</v>
      </c>
      <c r="C49" s="7">
        <v>1</v>
      </c>
    </row>
    <row r="50" spans="1:3" x14ac:dyDescent="0.3">
      <c r="A50">
        <v>1000677</v>
      </c>
      <c r="B50" t="s">
        <v>28</v>
      </c>
      <c r="C50" s="7">
        <v>1</v>
      </c>
    </row>
    <row r="51" spans="1:3" x14ac:dyDescent="0.3">
      <c r="A51">
        <v>1000682</v>
      </c>
      <c r="B51" t="s">
        <v>29</v>
      </c>
      <c r="C51" s="7">
        <v>1</v>
      </c>
    </row>
    <row r="52" spans="1:3" x14ac:dyDescent="0.3">
      <c r="A52">
        <v>1000707</v>
      </c>
      <c r="B52" t="s">
        <v>30</v>
      </c>
      <c r="C52" s="7">
        <v>1</v>
      </c>
    </row>
    <row r="53" spans="1:3" x14ac:dyDescent="0.3">
      <c r="A53">
        <v>1000712</v>
      </c>
      <c r="B53" t="s">
        <v>31</v>
      </c>
      <c r="C53" s="7">
        <v>1</v>
      </c>
    </row>
    <row r="54" spans="1:3" x14ac:dyDescent="0.3">
      <c r="A54">
        <v>1000720</v>
      </c>
      <c r="B54" t="s">
        <v>32</v>
      </c>
      <c r="C54" s="7">
        <v>1</v>
      </c>
    </row>
    <row r="55" spans="1:3" x14ac:dyDescent="0.3">
      <c r="A55">
        <v>1000762</v>
      </c>
      <c r="B55" t="s">
        <v>34</v>
      </c>
      <c r="C55" s="7">
        <v>1</v>
      </c>
    </row>
    <row r="56" spans="1:3" x14ac:dyDescent="0.3">
      <c r="A56">
        <v>1000764</v>
      </c>
      <c r="B56" t="s">
        <v>362</v>
      </c>
      <c r="C56" s="7">
        <v>1</v>
      </c>
    </row>
    <row r="57" spans="1:3" x14ac:dyDescent="0.3">
      <c r="A57">
        <v>1000769</v>
      </c>
      <c r="B57" t="s">
        <v>36</v>
      </c>
      <c r="C57" s="7">
        <v>1</v>
      </c>
    </row>
    <row r="58" spans="1:3" x14ac:dyDescent="0.3">
      <c r="A58">
        <v>1000769</v>
      </c>
      <c r="B58" t="s">
        <v>35</v>
      </c>
      <c r="C58" s="7">
        <v>1</v>
      </c>
    </row>
    <row r="59" spans="1:3" x14ac:dyDescent="0.3">
      <c r="A59">
        <v>1000786</v>
      </c>
      <c r="B59" t="s">
        <v>363</v>
      </c>
      <c r="C59" s="7">
        <v>1</v>
      </c>
    </row>
    <row r="60" spans="1:3" x14ac:dyDescent="0.3">
      <c r="A60">
        <v>1000787</v>
      </c>
      <c r="B60" t="s">
        <v>54</v>
      </c>
      <c r="C60" s="7">
        <v>1</v>
      </c>
    </row>
    <row r="61" spans="1:3" x14ac:dyDescent="0.3">
      <c r="A61">
        <v>1000787</v>
      </c>
      <c r="B61" t="s">
        <v>37</v>
      </c>
      <c r="C61" s="7">
        <v>1</v>
      </c>
    </row>
    <row r="62" spans="1:3" x14ac:dyDescent="0.3">
      <c r="A62">
        <v>1000790</v>
      </c>
      <c r="B62" t="s">
        <v>38</v>
      </c>
      <c r="C62" s="7">
        <v>1</v>
      </c>
    </row>
    <row r="63" spans="1:3" x14ac:dyDescent="0.3">
      <c r="A63">
        <v>1000793</v>
      </c>
      <c r="B63" t="s">
        <v>40</v>
      </c>
      <c r="C63" s="7">
        <v>3</v>
      </c>
    </row>
    <row r="64" spans="1:3" x14ac:dyDescent="0.3">
      <c r="A64">
        <v>1000795</v>
      </c>
      <c r="B64" t="s">
        <v>41</v>
      </c>
      <c r="C64" s="7">
        <v>2</v>
      </c>
    </row>
    <row r="65" spans="1:3" x14ac:dyDescent="0.3">
      <c r="A65">
        <v>1000795</v>
      </c>
      <c r="B65" t="s">
        <v>76</v>
      </c>
      <c r="C65" s="7">
        <v>1</v>
      </c>
    </row>
    <row r="66" spans="1:3" x14ac:dyDescent="0.3">
      <c r="A66">
        <v>1000796</v>
      </c>
      <c r="B66" t="s">
        <v>42</v>
      </c>
      <c r="C66" s="7">
        <v>1</v>
      </c>
    </row>
    <row r="67" spans="1:3" x14ac:dyDescent="0.3">
      <c r="A67">
        <v>1000797</v>
      </c>
      <c r="B67" t="s">
        <v>43</v>
      </c>
      <c r="C67" s="7">
        <v>3</v>
      </c>
    </row>
    <row r="68" spans="1:3" x14ac:dyDescent="0.3">
      <c r="A68">
        <v>1000797</v>
      </c>
      <c r="B68" t="s">
        <v>116</v>
      </c>
      <c r="C68" s="7">
        <v>1</v>
      </c>
    </row>
    <row r="69" spans="1:3" x14ac:dyDescent="0.3">
      <c r="A69">
        <v>1000798</v>
      </c>
      <c r="B69" t="s">
        <v>44</v>
      </c>
      <c r="C69" s="7">
        <v>2</v>
      </c>
    </row>
    <row r="70" spans="1:3" x14ac:dyDescent="0.3">
      <c r="A70">
        <v>1000803</v>
      </c>
      <c r="B70" t="s">
        <v>92</v>
      </c>
      <c r="C70" s="7">
        <v>1</v>
      </c>
    </row>
    <row r="71" spans="1:3" x14ac:dyDescent="0.3">
      <c r="A71">
        <v>1000803</v>
      </c>
      <c r="B71" t="s">
        <v>45</v>
      </c>
      <c r="C71" s="7">
        <v>1</v>
      </c>
    </row>
    <row r="72" spans="1:3" x14ac:dyDescent="0.3">
      <c r="A72">
        <v>1000808</v>
      </c>
      <c r="B72" t="s">
        <v>72</v>
      </c>
      <c r="C72" s="7">
        <v>1</v>
      </c>
    </row>
    <row r="73" spans="1:3" x14ac:dyDescent="0.3">
      <c r="A73">
        <v>1000808</v>
      </c>
      <c r="B73" t="s">
        <v>47</v>
      </c>
      <c r="C73" s="7">
        <v>1</v>
      </c>
    </row>
    <row r="74" spans="1:3" x14ac:dyDescent="0.3">
      <c r="A74">
        <v>1000809</v>
      </c>
      <c r="B74" t="s">
        <v>48</v>
      </c>
      <c r="C74" s="7">
        <v>1</v>
      </c>
    </row>
    <row r="75" spans="1:3" x14ac:dyDescent="0.3">
      <c r="A75">
        <v>1000815</v>
      </c>
      <c r="B75" t="s">
        <v>50</v>
      </c>
      <c r="C75" s="7">
        <v>1</v>
      </c>
    </row>
    <row r="76" spans="1:3" x14ac:dyDescent="0.3">
      <c r="A76">
        <v>1000815</v>
      </c>
      <c r="B76" t="s">
        <v>49</v>
      </c>
      <c r="C76" s="7">
        <v>1</v>
      </c>
    </row>
    <row r="77" spans="1:3" x14ac:dyDescent="0.3">
      <c r="A77">
        <v>1000819</v>
      </c>
      <c r="B77" t="s">
        <v>51</v>
      </c>
      <c r="C77" s="7">
        <v>1</v>
      </c>
    </row>
    <row r="78" spans="1:3" x14ac:dyDescent="0.3">
      <c r="A78">
        <v>1000820</v>
      </c>
      <c r="B78" t="s">
        <v>52</v>
      </c>
      <c r="C78" s="7">
        <v>1</v>
      </c>
    </row>
    <row r="79" spans="1:3" x14ac:dyDescent="0.3">
      <c r="A79">
        <v>1000830</v>
      </c>
      <c r="B79" t="s">
        <v>53</v>
      </c>
      <c r="C79" s="7">
        <v>2</v>
      </c>
    </row>
    <row r="80" spans="1:3" x14ac:dyDescent="0.3">
      <c r="A80">
        <v>1000836</v>
      </c>
      <c r="B80" t="s">
        <v>55</v>
      </c>
      <c r="C80" s="7">
        <v>1</v>
      </c>
    </row>
    <row r="81" spans="1:3" x14ac:dyDescent="0.3">
      <c r="A81">
        <v>1000839</v>
      </c>
      <c r="B81" t="s">
        <v>56</v>
      </c>
      <c r="C81" s="7">
        <v>1</v>
      </c>
    </row>
    <row r="82" spans="1:3" x14ac:dyDescent="0.3">
      <c r="A82">
        <v>1000840</v>
      </c>
      <c r="B82" t="s">
        <v>57</v>
      </c>
      <c r="C82" s="7">
        <v>1</v>
      </c>
    </row>
    <row r="83" spans="1:3" x14ac:dyDescent="0.3">
      <c r="A83">
        <v>1000841</v>
      </c>
      <c r="B83" t="s">
        <v>58</v>
      </c>
      <c r="C83" s="7">
        <v>1</v>
      </c>
    </row>
    <row r="84" spans="1:3" x14ac:dyDescent="0.3">
      <c r="A84">
        <v>1000852</v>
      </c>
      <c r="B84" t="s">
        <v>78</v>
      </c>
      <c r="C84" s="7">
        <v>1</v>
      </c>
    </row>
    <row r="85" spans="1:3" x14ac:dyDescent="0.3">
      <c r="A85">
        <v>1000852</v>
      </c>
      <c r="B85" t="s">
        <v>59</v>
      </c>
      <c r="C85" s="7">
        <v>1</v>
      </c>
    </row>
    <row r="86" spans="1:3" x14ac:dyDescent="0.3">
      <c r="A86">
        <v>1000857</v>
      </c>
      <c r="B86" t="s">
        <v>60</v>
      </c>
      <c r="C86" s="7">
        <v>2</v>
      </c>
    </row>
    <row r="87" spans="1:3" x14ac:dyDescent="0.3">
      <c r="A87">
        <v>1000863</v>
      </c>
      <c r="B87" t="s">
        <v>61</v>
      </c>
      <c r="C87" s="7">
        <v>1</v>
      </c>
    </row>
    <row r="88" spans="1:3" x14ac:dyDescent="0.3">
      <c r="A88">
        <v>1000865</v>
      </c>
      <c r="B88" t="s">
        <v>62</v>
      </c>
      <c r="C88" s="7">
        <v>1</v>
      </c>
    </row>
    <row r="89" spans="1:3" x14ac:dyDescent="0.3">
      <c r="A89">
        <v>1000865</v>
      </c>
      <c r="B89" t="s">
        <v>84</v>
      </c>
      <c r="C89" s="7">
        <v>1</v>
      </c>
    </row>
    <row r="90" spans="1:3" x14ac:dyDescent="0.3">
      <c r="A90">
        <v>1000869</v>
      </c>
      <c r="B90" t="s">
        <v>63</v>
      </c>
      <c r="C90" s="7">
        <v>2</v>
      </c>
    </row>
    <row r="91" spans="1:3" x14ac:dyDescent="0.3">
      <c r="A91">
        <v>1000870</v>
      </c>
      <c r="B91" t="s">
        <v>64</v>
      </c>
      <c r="C91" s="7">
        <v>1</v>
      </c>
    </row>
    <row r="92" spans="1:3" x14ac:dyDescent="0.3">
      <c r="A92">
        <v>1000872</v>
      </c>
      <c r="B92" t="s">
        <v>65</v>
      </c>
      <c r="C92" s="7">
        <v>2</v>
      </c>
    </row>
    <row r="93" spans="1:3" x14ac:dyDescent="0.3">
      <c r="A93">
        <v>1000876</v>
      </c>
      <c r="B93" t="s">
        <v>66</v>
      </c>
      <c r="C93" s="7">
        <v>1</v>
      </c>
    </row>
    <row r="94" spans="1:3" x14ac:dyDescent="0.3">
      <c r="A94">
        <v>1000877</v>
      </c>
      <c r="B94" t="s">
        <v>102</v>
      </c>
      <c r="C94" s="7">
        <v>3</v>
      </c>
    </row>
    <row r="95" spans="1:3" x14ac:dyDescent="0.3">
      <c r="A95">
        <v>1000877</v>
      </c>
      <c r="B95" t="s">
        <v>67</v>
      </c>
      <c r="C95" s="7">
        <v>1</v>
      </c>
    </row>
    <row r="96" spans="1:3" x14ac:dyDescent="0.3">
      <c r="A96">
        <v>1000882</v>
      </c>
      <c r="B96" t="s">
        <v>68</v>
      </c>
      <c r="C96" s="7">
        <v>1</v>
      </c>
    </row>
    <row r="97" spans="1:3" x14ac:dyDescent="0.3">
      <c r="A97">
        <v>1000884</v>
      </c>
      <c r="B97" t="s">
        <v>69</v>
      </c>
      <c r="C97" s="7">
        <v>1</v>
      </c>
    </row>
    <row r="98" spans="1:3" x14ac:dyDescent="0.3">
      <c r="A98">
        <v>1000888</v>
      </c>
      <c r="B98" t="s">
        <v>70</v>
      </c>
      <c r="C98" s="7">
        <v>3</v>
      </c>
    </row>
    <row r="99" spans="1:3" x14ac:dyDescent="0.3">
      <c r="A99">
        <v>1000889</v>
      </c>
      <c r="B99" t="s">
        <v>71</v>
      </c>
      <c r="C99" s="7">
        <v>1</v>
      </c>
    </row>
    <row r="100" spans="1:3" x14ac:dyDescent="0.3">
      <c r="A100">
        <v>1000904</v>
      </c>
      <c r="B100" t="s">
        <v>74</v>
      </c>
      <c r="C100" s="7">
        <v>3</v>
      </c>
    </row>
    <row r="101" spans="1:3" x14ac:dyDescent="0.3">
      <c r="A101">
        <v>1000905</v>
      </c>
      <c r="B101" t="s">
        <v>113</v>
      </c>
      <c r="C101" s="7">
        <v>2</v>
      </c>
    </row>
    <row r="102" spans="1:3" x14ac:dyDescent="0.3">
      <c r="A102">
        <v>1000905</v>
      </c>
      <c r="B102" t="s">
        <v>77</v>
      </c>
      <c r="C102" s="7">
        <v>1</v>
      </c>
    </row>
    <row r="103" spans="1:3" x14ac:dyDescent="0.3">
      <c r="A103">
        <v>1000905</v>
      </c>
      <c r="B103" t="s">
        <v>75</v>
      </c>
      <c r="C103" s="7">
        <v>1</v>
      </c>
    </row>
    <row r="104" spans="1:3" x14ac:dyDescent="0.3">
      <c r="A104">
        <v>1000912</v>
      </c>
      <c r="B104" t="s">
        <v>80</v>
      </c>
      <c r="C104" s="7">
        <v>1</v>
      </c>
    </row>
    <row r="105" spans="1:3" x14ac:dyDescent="0.3">
      <c r="A105">
        <v>1000915</v>
      </c>
      <c r="B105" t="s">
        <v>81</v>
      </c>
      <c r="C105" s="7">
        <v>2</v>
      </c>
    </row>
    <row r="106" spans="1:3" x14ac:dyDescent="0.3">
      <c r="A106">
        <v>1000920</v>
      </c>
      <c r="B106" t="s">
        <v>86</v>
      </c>
      <c r="C106" s="7">
        <v>3</v>
      </c>
    </row>
    <row r="107" spans="1:3" x14ac:dyDescent="0.3">
      <c r="A107">
        <v>1000924</v>
      </c>
      <c r="B107" t="s">
        <v>85</v>
      </c>
      <c r="C107" s="7">
        <v>3</v>
      </c>
    </row>
    <row r="108" spans="1:3" x14ac:dyDescent="0.3">
      <c r="A108">
        <v>1000927</v>
      </c>
      <c r="B108" t="s">
        <v>87</v>
      </c>
      <c r="C108" s="7">
        <v>1</v>
      </c>
    </row>
    <row r="109" spans="1:3" x14ac:dyDescent="0.3">
      <c r="A109">
        <v>1000929</v>
      </c>
      <c r="B109" t="s">
        <v>88</v>
      </c>
      <c r="C109" s="7">
        <v>1</v>
      </c>
    </row>
    <row r="110" spans="1:3" x14ac:dyDescent="0.3">
      <c r="A110">
        <v>1000932</v>
      </c>
      <c r="B110" t="s">
        <v>90</v>
      </c>
      <c r="C110" s="7">
        <v>1</v>
      </c>
    </row>
    <row r="111" spans="1:3" x14ac:dyDescent="0.3">
      <c r="A111">
        <v>1000941</v>
      </c>
      <c r="B111" t="s">
        <v>93</v>
      </c>
      <c r="C111" s="7">
        <v>1</v>
      </c>
    </row>
    <row r="112" spans="1:3" x14ac:dyDescent="0.3">
      <c r="A112">
        <v>1000944</v>
      </c>
      <c r="B112" t="s">
        <v>95</v>
      </c>
      <c r="C112" s="7">
        <v>1</v>
      </c>
    </row>
    <row r="113" spans="1:3" x14ac:dyDescent="0.3">
      <c r="A113">
        <v>1000946</v>
      </c>
      <c r="B113" t="s">
        <v>97</v>
      </c>
      <c r="C113" s="7">
        <v>1</v>
      </c>
    </row>
    <row r="114" spans="1:3" x14ac:dyDescent="0.3">
      <c r="A114">
        <v>1000947</v>
      </c>
      <c r="B114" t="s">
        <v>98</v>
      </c>
      <c r="C114" s="7">
        <v>1</v>
      </c>
    </row>
    <row r="115" spans="1:3" x14ac:dyDescent="0.3">
      <c r="A115">
        <v>1000948</v>
      </c>
      <c r="B115" t="s">
        <v>99</v>
      </c>
      <c r="C115" s="7">
        <v>1</v>
      </c>
    </row>
    <row r="116" spans="1:3" x14ac:dyDescent="0.3">
      <c r="A116">
        <v>1000950</v>
      </c>
      <c r="B116" t="s">
        <v>109</v>
      </c>
      <c r="C116" s="7">
        <v>1</v>
      </c>
    </row>
    <row r="117" spans="1:3" x14ac:dyDescent="0.3">
      <c r="A117">
        <v>1000950</v>
      </c>
      <c r="B117" t="s">
        <v>100</v>
      </c>
      <c r="C117" s="7">
        <v>1</v>
      </c>
    </row>
    <row r="118" spans="1:3" x14ac:dyDescent="0.3">
      <c r="A118">
        <v>1000951</v>
      </c>
      <c r="B118" t="s">
        <v>350</v>
      </c>
      <c r="C118" s="7">
        <v>1</v>
      </c>
    </row>
    <row r="119" spans="1:3" x14ac:dyDescent="0.3">
      <c r="A119">
        <v>1000970</v>
      </c>
      <c r="B119" t="s">
        <v>101</v>
      </c>
      <c r="C119" s="7">
        <v>1</v>
      </c>
    </row>
    <row r="120" spans="1:3" x14ac:dyDescent="0.3">
      <c r="A120">
        <v>1000979</v>
      </c>
      <c r="B120" t="s">
        <v>104</v>
      </c>
      <c r="C120" s="7">
        <v>1</v>
      </c>
    </row>
    <row r="121" spans="1:3" x14ac:dyDescent="0.3">
      <c r="A121">
        <v>1000982</v>
      </c>
      <c r="B121" t="s">
        <v>105</v>
      </c>
      <c r="C121" s="7">
        <v>1</v>
      </c>
    </row>
    <row r="122" spans="1:3" x14ac:dyDescent="0.3">
      <c r="A122">
        <v>1000985</v>
      </c>
      <c r="B122" t="s">
        <v>106</v>
      </c>
      <c r="C122" s="7">
        <v>1</v>
      </c>
    </row>
    <row r="123" spans="1:3" x14ac:dyDescent="0.3">
      <c r="A123">
        <v>1000988</v>
      </c>
      <c r="B123" t="s">
        <v>107</v>
      </c>
      <c r="C123" s="7">
        <v>1</v>
      </c>
    </row>
    <row r="124" spans="1:3" x14ac:dyDescent="0.3">
      <c r="A124">
        <v>1000991</v>
      </c>
      <c r="B124" t="s">
        <v>108</v>
      </c>
      <c r="C124" s="7">
        <v>1</v>
      </c>
    </row>
    <row r="125" spans="1:3" x14ac:dyDescent="0.3">
      <c r="A125">
        <v>1001000</v>
      </c>
      <c r="B125" t="s">
        <v>110</v>
      </c>
      <c r="C125" s="7">
        <v>1</v>
      </c>
    </row>
    <row r="126" spans="1:3" x14ac:dyDescent="0.3">
      <c r="A126">
        <v>1001001</v>
      </c>
      <c r="B126" t="s">
        <v>111</v>
      </c>
      <c r="C126" s="7">
        <v>2</v>
      </c>
    </row>
    <row r="127" spans="1:3" x14ac:dyDescent="0.3">
      <c r="A127">
        <v>1001001</v>
      </c>
      <c r="B127" t="s">
        <v>112</v>
      </c>
      <c r="C127" s="7">
        <v>1</v>
      </c>
    </row>
    <row r="128" spans="1:3" x14ac:dyDescent="0.3">
      <c r="A128">
        <v>1001008</v>
      </c>
      <c r="B128" t="s">
        <v>114</v>
      </c>
      <c r="C128" s="7">
        <v>2</v>
      </c>
    </row>
    <row r="129" spans="1:3" x14ac:dyDescent="0.3">
      <c r="A129">
        <v>1001016</v>
      </c>
      <c r="B129" t="s">
        <v>117</v>
      </c>
      <c r="C129" s="7">
        <v>1</v>
      </c>
    </row>
    <row r="130" spans="1:3" x14ac:dyDescent="0.3">
      <c r="A130">
        <v>1001017</v>
      </c>
      <c r="B130" t="s">
        <v>118</v>
      </c>
      <c r="C130" s="7">
        <v>2</v>
      </c>
    </row>
    <row r="131" spans="1:3" x14ac:dyDescent="0.3">
      <c r="A131">
        <v>1001024</v>
      </c>
      <c r="B131" t="s">
        <v>117</v>
      </c>
      <c r="C131" s="7">
        <v>2</v>
      </c>
    </row>
    <row r="132" spans="1:3" x14ac:dyDescent="0.3">
      <c r="A132">
        <v>1001027</v>
      </c>
      <c r="B132" t="s">
        <v>351</v>
      </c>
      <c r="C132" s="7">
        <v>1</v>
      </c>
    </row>
    <row r="133" spans="1:3" x14ac:dyDescent="0.3">
      <c r="A133">
        <v>1001030</v>
      </c>
      <c r="B133" t="s">
        <v>119</v>
      </c>
      <c r="C133" s="7">
        <v>1</v>
      </c>
    </row>
    <row r="134" spans="1:3" x14ac:dyDescent="0.3">
      <c r="A134">
        <v>1001031</v>
      </c>
      <c r="B134" t="s">
        <v>120</v>
      </c>
      <c r="C134" s="7">
        <v>1</v>
      </c>
    </row>
    <row r="135" spans="1:3" x14ac:dyDescent="0.3">
      <c r="A135">
        <v>2000002</v>
      </c>
      <c r="B135" t="s">
        <v>121</v>
      </c>
      <c r="C135" s="7">
        <v>1</v>
      </c>
    </row>
    <row r="136" spans="1:3" x14ac:dyDescent="0.3">
      <c r="A136">
        <v>2000006</v>
      </c>
      <c r="B136" t="s">
        <v>122</v>
      </c>
      <c r="C136" s="7">
        <v>1</v>
      </c>
    </row>
    <row r="137" spans="1:3" x14ac:dyDescent="0.3">
      <c r="A137">
        <v>2000113</v>
      </c>
      <c r="B137" t="s">
        <v>124</v>
      </c>
      <c r="C137" s="7">
        <v>1</v>
      </c>
    </row>
    <row r="138" spans="1:3" x14ac:dyDescent="0.3">
      <c r="A138">
        <v>2000151</v>
      </c>
      <c r="B138" t="s">
        <v>125</v>
      </c>
      <c r="C138" s="7">
        <v>1</v>
      </c>
    </row>
    <row r="139" spans="1:3" x14ac:dyDescent="0.3">
      <c r="A139">
        <v>2000172</v>
      </c>
      <c r="B139" t="s">
        <v>126</v>
      </c>
      <c r="C139" s="7">
        <v>1</v>
      </c>
    </row>
    <row r="140" spans="1:3" x14ac:dyDescent="0.3">
      <c r="A140">
        <v>2000215</v>
      </c>
      <c r="B140" t="s">
        <v>143</v>
      </c>
      <c r="C140" s="7">
        <v>2</v>
      </c>
    </row>
    <row r="141" spans="1:3" x14ac:dyDescent="0.3">
      <c r="A141">
        <v>2000215</v>
      </c>
      <c r="B141" t="s">
        <v>127</v>
      </c>
      <c r="C141" s="7">
        <v>1</v>
      </c>
    </row>
    <row r="142" spans="1:3" x14ac:dyDescent="0.3">
      <c r="A142">
        <v>2000239</v>
      </c>
      <c r="B142" t="s">
        <v>129</v>
      </c>
      <c r="C142" s="7">
        <v>2</v>
      </c>
    </row>
    <row r="143" spans="1:3" x14ac:dyDescent="0.3">
      <c r="A143">
        <v>2000263</v>
      </c>
      <c r="B143" t="s">
        <v>130</v>
      </c>
      <c r="C143" s="7">
        <v>1</v>
      </c>
    </row>
    <row r="144" spans="1:3" x14ac:dyDescent="0.3">
      <c r="A144">
        <v>2000293</v>
      </c>
      <c r="B144" t="s">
        <v>131</v>
      </c>
      <c r="C144" s="7">
        <v>2</v>
      </c>
    </row>
    <row r="145" spans="1:3" x14ac:dyDescent="0.3">
      <c r="A145">
        <v>2000422</v>
      </c>
      <c r="B145" t="s">
        <v>134</v>
      </c>
      <c r="C145" s="7">
        <v>1</v>
      </c>
    </row>
    <row r="146" spans="1:3" x14ac:dyDescent="0.3">
      <c r="A146">
        <v>2000443</v>
      </c>
      <c r="B146" t="s">
        <v>135</v>
      </c>
      <c r="C146" s="7">
        <v>1</v>
      </c>
    </row>
    <row r="147" spans="1:3" x14ac:dyDescent="0.3">
      <c r="A147">
        <v>2000443</v>
      </c>
      <c r="B147" t="s">
        <v>136</v>
      </c>
      <c r="C147" s="7">
        <v>1</v>
      </c>
    </row>
    <row r="148" spans="1:3" x14ac:dyDescent="0.3">
      <c r="A148">
        <v>2000455</v>
      </c>
      <c r="B148" t="s">
        <v>137</v>
      </c>
      <c r="C148" s="7">
        <v>1</v>
      </c>
    </row>
    <row r="149" spans="1:3" x14ac:dyDescent="0.3">
      <c r="A149">
        <v>2000498</v>
      </c>
      <c r="B149" t="s">
        <v>142</v>
      </c>
      <c r="C149" s="7">
        <v>2</v>
      </c>
    </row>
    <row r="150" spans="1:3" x14ac:dyDescent="0.3">
      <c r="A150">
        <v>2000498</v>
      </c>
      <c r="B150" t="s">
        <v>94</v>
      </c>
      <c r="C150" s="7">
        <v>1</v>
      </c>
    </row>
    <row r="151" spans="1:3" x14ac:dyDescent="0.3">
      <c r="A151">
        <v>2000505</v>
      </c>
      <c r="B151" t="s">
        <v>138</v>
      </c>
      <c r="C151" s="7">
        <v>1</v>
      </c>
    </row>
    <row r="152" spans="1:3" x14ac:dyDescent="0.3">
      <c r="A152">
        <v>2000511</v>
      </c>
      <c r="B152" t="s">
        <v>208</v>
      </c>
      <c r="C152" s="7">
        <v>1</v>
      </c>
    </row>
    <row r="153" spans="1:3" x14ac:dyDescent="0.3">
      <c r="A153">
        <v>2000511</v>
      </c>
      <c r="B153" t="s">
        <v>185</v>
      </c>
      <c r="C153" s="7">
        <v>1</v>
      </c>
    </row>
    <row r="154" spans="1:3" x14ac:dyDescent="0.3">
      <c r="A154">
        <v>2000514</v>
      </c>
      <c r="B154" t="s">
        <v>139</v>
      </c>
      <c r="C154" s="7">
        <v>2</v>
      </c>
    </row>
    <row r="155" spans="1:3" x14ac:dyDescent="0.3">
      <c r="A155">
        <v>2000514</v>
      </c>
      <c r="B155" t="s">
        <v>187</v>
      </c>
      <c r="C155" s="7">
        <v>1</v>
      </c>
    </row>
    <row r="156" spans="1:3" x14ac:dyDescent="0.3">
      <c r="A156">
        <v>2000518</v>
      </c>
      <c r="B156" t="s">
        <v>140</v>
      </c>
      <c r="C156" s="7">
        <v>4</v>
      </c>
    </row>
    <row r="157" spans="1:3" x14ac:dyDescent="0.3">
      <c r="A157">
        <v>2000519</v>
      </c>
      <c r="B157" t="s">
        <v>141</v>
      </c>
      <c r="C157" s="7">
        <v>1</v>
      </c>
    </row>
    <row r="158" spans="1:3" x14ac:dyDescent="0.3">
      <c r="A158">
        <v>2000524</v>
      </c>
      <c r="B158" t="s">
        <v>144</v>
      </c>
      <c r="C158" s="7">
        <v>3</v>
      </c>
    </row>
    <row r="159" spans="1:3" x14ac:dyDescent="0.3">
      <c r="A159">
        <v>2000525</v>
      </c>
      <c r="B159" t="s">
        <v>145</v>
      </c>
      <c r="C159" s="7">
        <v>2</v>
      </c>
    </row>
    <row r="160" spans="1:3" x14ac:dyDescent="0.3">
      <c r="A160">
        <v>2000525</v>
      </c>
      <c r="B160" t="s">
        <v>195</v>
      </c>
      <c r="C160" s="7">
        <v>1</v>
      </c>
    </row>
    <row r="161" spans="1:3" x14ac:dyDescent="0.3">
      <c r="A161">
        <v>2000527</v>
      </c>
      <c r="B161" t="s">
        <v>146</v>
      </c>
      <c r="C161" s="7">
        <v>2</v>
      </c>
    </row>
    <row r="162" spans="1:3" x14ac:dyDescent="0.3">
      <c r="A162">
        <v>2000530</v>
      </c>
      <c r="B162" t="s">
        <v>147</v>
      </c>
      <c r="C162" s="7">
        <v>1</v>
      </c>
    </row>
    <row r="163" spans="1:3" x14ac:dyDescent="0.3">
      <c r="A163">
        <v>2000531</v>
      </c>
      <c r="B163" t="s">
        <v>148</v>
      </c>
      <c r="C163" s="7">
        <v>4</v>
      </c>
    </row>
    <row r="164" spans="1:3" x14ac:dyDescent="0.3">
      <c r="A164">
        <v>2000532</v>
      </c>
      <c r="B164" t="s">
        <v>149</v>
      </c>
      <c r="C164" s="7">
        <v>1</v>
      </c>
    </row>
    <row r="165" spans="1:3" x14ac:dyDescent="0.3">
      <c r="A165">
        <v>2000534</v>
      </c>
      <c r="B165" t="s">
        <v>150</v>
      </c>
      <c r="C165" s="7">
        <v>1</v>
      </c>
    </row>
    <row r="166" spans="1:3" x14ac:dyDescent="0.3">
      <c r="A166">
        <v>2000535</v>
      </c>
      <c r="B166" t="s">
        <v>151</v>
      </c>
      <c r="C166" s="7">
        <v>1</v>
      </c>
    </row>
    <row r="167" spans="1:3" x14ac:dyDescent="0.3">
      <c r="A167">
        <v>2000536</v>
      </c>
      <c r="B167" t="s">
        <v>152</v>
      </c>
      <c r="C167" s="7">
        <v>2</v>
      </c>
    </row>
    <row r="168" spans="1:3" x14ac:dyDescent="0.3">
      <c r="A168">
        <v>2000537</v>
      </c>
      <c r="B168" t="s">
        <v>153</v>
      </c>
      <c r="C168" s="7">
        <v>2</v>
      </c>
    </row>
    <row r="169" spans="1:3" x14ac:dyDescent="0.3">
      <c r="A169">
        <v>2000538</v>
      </c>
      <c r="B169" t="s">
        <v>154</v>
      </c>
      <c r="C169" s="7">
        <v>2</v>
      </c>
    </row>
    <row r="170" spans="1:3" x14ac:dyDescent="0.3">
      <c r="A170">
        <v>2000543</v>
      </c>
      <c r="B170" t="s">
        <v>155</v>
      </c>
      <c r="C170" s="7">
        <v>3</v>
      </c>
    </row>
    <row r="171" spans="1:3" x14ac:dyDescent="0.3">
      <c r="A171">
        <v>2000544</v>
      </c>
      <c r="B171" t="s">
        <v>156</v>
      </c>
      <c r="C171" s="7">
        <v>2</v>
      </c>
    </row>
    <row r="172" spans="1:3" x14ac:dyDescent="0.3">
      <c r="A172">
        <v>2000545</v>
      </c>
      <c r="B172" t="s">
        <v>157</v>
      </c>
      <c r="C172" s="7">
        <v>1</v>
      </c>
    </row>
    <row r="173" spans="1:3" x14ac:dyDescent="0.3">
      <c r="A173">
        <v>2000546</v>
      </c>
      <c r="B173" t="s">
        <v>200</v>
      </c>
      <c r="C173" s="7">
        <v>3</v>
      </c>
    </row>
    <row r="174" spans="1:3" x14ac:dyDescent="0.3">
      <c r="A174">
        <v>2000546</v>
      </c>
      <c r="B174" t="s">
        <v>158</v>
      </c>
      <c r="C174" s="7">
        <v>2</v>
      </c>
    </row>
    <row r="175" spans="1:3" x14ac:dyDescent="0.3">
      <c r="A175">
        <v>2000556</v>
      </c>
      <c r="B175" t="s">
        <v>159</v>
      </c>
      <c r="C175" s="7">
        <v>2</v>
      </c>
    </row>
    <row r="176" spans="1:3" x14ac:dyDescent="0.3">
      <c r="A176">
        <v>2000558</v>
      </c>
      <c r="B176" t="s">
        <v>161</v>
      </c>
      <c r="C176" s="7">
        <v>3</v>
      </c>
    </row>
    <row r="177" spans="1:3" x14ac:dyDescent="0.3">
      <c r="A177">
        <v>2000558</v>
      </c>
      <c r="B177" t="s">
        <v>216</v>
      </c>
      <c r="C177" s="7">
        <v>1</v>
      </c>
    </row>
    <row r="178" spans="1:3" x14ac:dyDescent="0.3">
      <c r="A178">
        <v>2000562</v>
      </c>
      <c r="B178" t="s">
        <v>171</v>
      </c>
      <c r="C178" s="7">
        <v>1</v>
      </c>
    </row>
    <row r="179" spans="1:3" x14ac:dyDescent="0.3">
      <c r="A179">
        <v>2000562</v>
      </c>
      <c r="B179" t="s">
        <v>205</v>
      </c>
      <c r="C179" s="7">
        <v>1</v>
      </c>
    </row>
    <row r="180" spans="1:3" x14ac:dyDescent="0.3">
      <c r="A180">
        <v>2000564</v>
      </c>
      <c r="B180" t="s">
        <v>209</v>
      </c>
      <c r="C180" s="7">
        <v>2</v>
      </c>
    </row>
    <row r="181" spans="1:3" x14ac:dyDescent="0.3">
      <c r="A181">
        <v>2000564</v>
      </c>
      <c r="B181" t="s">
        <v>163</v>
      </c>
      <c r="C181" s="7">
        <v>2</v>
      </c>
    </row>
    <row r="182" spans="1:3" x14ac:dyDescent="0.3">
      <c r="A182">
        <v>2000567</v>
      </c>
      <c r="B182" t="s">
        <v>164</v>
      </c>
      <c r="C182" s="7">
        <v>2</v>
      </c>
    </row>
    <row r="183" spans="1:3" x14ac:dyDescent="0.3">
      <c r="A183">
        <v>2000572</v>
      </c>
      <c r="B183" t="s">
        <v>165</v>
      </c>
      <c r="C183" s="7">
        <v>1</v>
      </c>
    </row>
    <row r="184" spans="1:3" x14ac:dyDescent="0.3">
      <c r="A184">
        <v>2000574</v>
      </c>
      <c r="B184" t="s">
        <v>166</v>
      </c>
      <c r="C184" s="7">
        <v>3</v>
      </c>
    </row>
    <row r="185" spans="1:3" x14ac:dyDescent="0.3">
      <c r="A185">
        <v>2000576</v>
      </c>
      <c r="B185" t="s">
        <v>204</v>
      </c>
      <c r="C185" s="7">
        <v>3</v>
      </c>
    </row>
    <row r="186" spans="1:3" x14ac:dyDescent="0.3">
      <c r="A186">
        <v>2000576</v>
      </c>
      <c r="B186" t="s">
        <v>168</v>
      </c>
      <c r="C186" s="7">
        <v>1</v>
      </c>
    </row>
    <row r="187" spans="1:3" x14ac:dyDescent="0.3">
      <c r="A187">
        <v>2000581</v>
      </c>
      <c r="B187" t="s">
        <v>169</v>
      </c>
      <c r="C187" s="7">
        <v>1</v>
      </c>
    </row>
    <row r="188" spans="1:3" x14ac:dyDescent="0.3">
      <c r="A188">
        <v>2000587</v>
      </c>
      <c r="B188" t="s">
        <v>170</v>
      </c>
      <c r="C188" s="7">
        <v>1</v>
      </c>
    </row>
    <row r="189" spans="1:3" x14ac:dyDescent="0.3">
      <c r="A189">
        <v>2000594</v>
      </c>
      <c r="B189" t="s">
        <v>207</v>
      </c>
      <c r="C189" s="7">
        <v>2</v>
      </c>
    </row>
    <row r="190" spans="1:3" x14ac:dyDescent="0.3">
      <c r="A190">
        <v>2000594</v>
      </c>
      <c r="B190" t="s">
        <v>160</v>
      </c>
      <c r="C190" s="7">
        <v>2</v>
      </c>
    </row>
    <row r="191" spans="1:3" x14ac:dyDescent="0.3">
      <c r="A191">
        <v>2000595</v>
      </c>
      <c r="B191" t="s">
        <v>172</v>
      </c>
      <c r="C191" s="7">
        <v>1</v>
      </c>
    </row>
    <row r="192" spans="1:3" x14ac:dyDescent="0.3">
      <c r="A192">
        <v>2000596</v>
      </c>
      <c r="B192" t="s">
        <v>210</v>
      </c>
      <c r="C192" s="7">
        <v>1</v>
      </c>
    </row>
    <row r="193" spans="1:3" x14ac:dyDescent="0.3">
      <c r="A193">
        <v>2000596</v>
      </c>
      <c r="B193" t="s">
        <v>173</v>
      </c>
      <c r="C193" s="7">
        <v>1</v>
      </c>
    </row>
    <row r="194" spans="1:3" x14ac:dyDescent="0.3">
      <c r="A194">
        <v>2000597</v>
      </c>
      <c r="B194" t="s">
        <v>174</v>
      </c>
      <c r="C194" s="7">
        <v>1</v>
      </c>
    </row>
    <row r="195" spans="1:3" x14ac:dyDescent="0.3">
      <c r="A195">
        <v>2000602</v>
      </c>
      <c r="B195" t="s">
        <v>175</v>
      </c>
      <c r="C195" s="7">
        <v>1</v>
      </c>
    </row>
    <row r="196" spans="1:3" x14ac:dyDescent="0.3">
      <c r="A196">
        <v>2000604</v>
      </c>
      <c r="B196" t="s">
        <v>176</v>
      </c>
      <c r="C196" s="7">
        <v>1</v>
      </c>
    </row>
    <row r="197" spans="1:3" x14ac:dyDescent="0.3">
      <c r="A197">
        <v>2000604</v>
      </c>
      <c r="B197" t="s">
        <v>196</v>
      </c>
      <c r="C197" s="7">
        <v>1</v>
      </c>
    </row>
    <row r="198" spans="1:3" x14ac:dyDescent="0.3">
      <c r="A198">
        <v>2000604</v>
      </c>
      <c r="B198" t="s">
        <v>206</v>
      </c>
      <c r="C198" s="7">
        <v>1</v>
      </c>
    </row>
    <row r="199" spans="1:3" x14ac:dyDescent="0.3">
      <c r="A199">
        <v>2000606</v>
      </c>
      <c r="B199" t="s">
        <v>177</v>
      </c>
      <c r="C199" s="7">
        <v>3</v>
      </c>
    </row>
    <row r="200" spans="1:3" x14ac:dyDescent="0.3">
      <c r="A200">
        <v>2000609</v>
      </c>
      <c r="B200" t="s">
        <v>178</v>
      </c>
      <c r="C200" s="7">
        <v>2</v>
      </c>
    </row>
    <row r="201" spans="1:3" x14ac:dyDescent="0.3">
      <c r="A201">
        <v>2000610</v>
      </c>
      <c r="B201" t="s">
        <v>179</v>
      </c>
      <c r="C201" s="7">
        <v>1</v>
      </c>
    </row>
    <row r="202" spans="1:3" x14ac:dyDescent="0.3">
      <c r="A202">
        <v>2000611</v>
      </c>
      <c r="B202" t="s">
        <v>194</v>
      </c>
      <c r="C202" s="7">
        <v>3</v>
      </c>
    </row>
    <row r="203" spans="1:3" x14ac:dyDescent="0.3">
      <c r="A203">
        <v>2000611</v>
      </c>
      <c r="B203" t="s">
        <v>180</v>
      </c>
      <c r="C203" s="7">
        <v>1</v>
      </c>
    </row>
    <row r="204" spans="1:3" x14ac:dyDescent="0.3">
      <c r="A204">
        <v>2000613</v>
      </c>
      <c r="B204" t="s">
        <v>181</v>
      </c>
      <c r="C204" s="7">
        <v>1</v>
      </c>
    </row>
    <row r="205" spans="1:3" x14ac:dyDescent="0.3">
      <c r="A205">
        <v>2000614</v>
      </c>
      <c r="B205" t="s">
        <v>182</v>
      </c>
      <c r="C205" s="7">
        <v>1</v>
      </c>
    </row>
    <row r="206" spans="1:3" x14ac:dyDescent="0.3">
      <c r="A206">
        <v>2000617</v>
      </c>
      <c r="B206" t="s">
        <v>183</v>
      </c>
      <c r="C206" s="7">
        <v>2</v>
      </c>
    </row>
    <row r="207" spans="1:3" x14ac:dyDescent="0.3">
      <c r="A207">
        <v>2000618</v>
      </c>
      <c r="B207" t="s">
        <v>184</v>
      </c>
      <c r="C207" s="7">
        <v>1</v>
      </c>
    </row>
    <row r="208" spans="1:3" x14ac:dyDescent="0.3">
      <c r="A208">
        <v>2000624</v>
      </c>
      <c r="B208" t="s">
        <v>186</v>
      </c>
      <c r="C208" s="7">
        <v>2</v>
      </c>
    </row>
    <row r="209" spans="1:3" x14ac:dyDescent="0.3">
      <c r="A209">
        <v>2000627</v>
      </c>
      <c r="B209" t="s">
        <v>188</v>
      </c>
      <c r="C209" s="7">
        <v>1</v>
      </c>
    </row>
    <row r="210" spans="1:3" x14ac:dyDescent="0.3">
      <c r="A210">
        <v>2000629</v>
      </c>
      <c r="B210" t="s">
        <v>189</v>
      </c>
      <c r="C210" s="7">
        <v>3</v>
      </c>
    </row>
    <row r="211" spans="1:3" x14ac:dyDescent="0.3">
      <c r="A211">
        <v>2000630</v>
      </c>
      <c r="B211" t="s">
        <v>190</v>
      </c>
      <c r="C211" s="7">
        <v>2</v>
      </c>
    </row>
    <row r="212" spans="1:3" x14ac:dyDescent="0.3">
      <c r="A212">
        <v>2000631</v>
      </c>
      <c r="B212" t="s">
        <v>191</v>
      </c>
      <c r="C212" s="7">
        <v>2</v>
      </c>
    </row>
    <row r="213" spans="1:3" x14ac:dyDescent="0.3">
      <c r="A213">
        <v>2000632</v>
      </c>
      <c r="B213" t="s">
        <v>192</v>
      </c>
      <c r="C213" s="7">
        <v>1</v>
      </c>
    </row>
    <row r="214" spans="1:3" x14ac:dyDescent="0.3">
      <c r="A214">
        <v>2000633</v>
      </c>
      <c r="B214" t="s">
        <v>193</v>
      </c>
      <c r="C214" s="7">
        <v>6</v>
      </c>
    </row>
    <row r="215" spans="1:3" x14ac:dyDescent="0.3">
      <c r="A215">
        <v>2000647</v>
      </c>
      <c r="B215" t="s">
        <v>197</v>
      </c>
      <c r="C215" s="7">
        <v>3</v>
      </c>
    </row>
    <row r="216" spans="1:3" x14ac:dyDescent="0.3">
      <c r="A216">
        <v>2000650</v>
      </c>
      <c r="B216" t="s">
        <v>198</v>
      </c>
      <c r="C216" s="7">
        <v>4</v>
      </c>
    </row>
    <row r="217" spans="1:3" x14ac:dyDescent="0.3">
      <c r="A217">
        <v>2000651</v>
      </c>
      <c r="B217" t="s">
        <v>199</v>
      </c>
      <c r="C217" s="7">
        <v>1</v>
      </c>
    </row>
    <row r="218" spans="1:3" x14ac:dyDescent="0.3">
      <c r="A218">
        <v>2000686</v>
      </c>
      <c r="B218" t="s">
        <v>201</v>
      </c>
      <c r="C218" s="7">
        <v>1</v>
      </c>
    </row>
    <row r="219" spans="1:3" x14ac:dyDescent="0.3">
      <c r="A219">
        <v>2000688</v>
      </c>
      <c r="B219" t="s">
        <v>202</v>
      </c>
      <c r="C219" s="7">
        <v>3</v>
      </c>
    </row>
    <row r="220" spans="1:3" x14ac:dyDescent="0.3">
      <c r="A220">
        <v>2000696</v>
      </c>
      <c r="B220" t="s">
        <v>203</v>
      </c>
      <c r="C220" s="7">
        <v>2</v>
      </c>
    </row>
    <row r="221" spans="1:3" x14ac:dyDescent="0.3">
      <c r="A221">
        <v>2000737</v>
      </c>
      <c r="B221" t="s">
        <v>211</v>
      </c>
      <c r="C221" s="7">
        <v>1</v>
      </c>
    </row>
    <row r="222" spans="1:3" x14ac:dyDescent="0.3">
      <c r="A222">
        <v>2000738</v>
      </c>
      <c r="B222" t="s">
        <v>212</v>
      </c>
      <c r="C222" s="7">
        <v>1</v>
      </c>
    </row>
    <row r="223" spans="1:3" x14ac:dyDescent="0.3">
      <c r="A223">
        <v>2000739</v>
      </c>
      <c r="B223" t="s">
        <v>213</v>
      </c>
      <c r="C223" s="7">
        <v>1</v>
      </c>
    </row>
    <row r="224" spans="1:3" x14ac:dyDescent="0.3">
      <c r="A224">
        <v>2000755</v>
      </c>
      <c r="B224" t="s">
        <v>214</v>
      </c>
      <c r="C224" s="7">
        <v>2</v>
      </c>
    </row>
    <row r="225" spans="1:3" x14ac:dyDescent="0.3">
      <c r="A225">
        <v>2000758</v>
      </c>
      <c r="B225" t="s">
        <v>215</v>
      </c>
      <c r="C225" s="7">
        <v>1</v>
      </c>
    </row>
    <row r="226" spans="1:3" x14ac:dyDescent="0.3">
      <c r="A226">
        <v>2000766</v>
      </c>
      <c r="B226" t="s">
        <v>217</v>
      </c>
      <c r="C226" s="7">
        <v>1</v>
      </c>
    </row>
    <row r="227" spans="1:3" x14ac:dyDescent="0.3">
      <c r="A227">
        <v>2000768</v>
      </c>
      <c r="B227" t="s">
        <v>218</v>
      </c>
      <c r="C227" s="7">
        <v>1</v>
      </c>
    </row>
    <row r="228" spans="1:3" x14ac:dyDescent="0.3">
      <c r="A228">
        <v>3000007</v>
      </c>
      <c r="B228" t="s">
        <v>219</v>
      </c>
      <c r="C228" s="7">
        <v>1</v>
      </c>
    </row>
    <row r="229" spans="1:3" x14ac:dyDescent="0.3">
      <c r="A229">
        <v>3000079</v>
      </c>
      <c r="B229" t="s">
        <v>253</v>
      </c>
      <c r="C229" s="7">
        <v>3</v>
      </c>
    </row>
    <row r="230" spans="1:3" x14ac:dyDescent="0.3">
      <c r="A230">
        <v>3000079</v>
      </c>
      <c r="B230" t="s">
        <v>220</v>
      </c>
      <c r="C230" s="7">
        <v>2</v>
      </c>
    </row>
    <row r="231" spans="1:3" x14ac:dyDescent="0.3">
      <c r="A231">
        <v>3000080</v>
      </c>
      <c r="B231" t="s">
        <v>221</v>
      </c>
      <c r="C231" s="7">
        <v>1</v>
      </c>
    </row>
    <row r="232" spans="1:3" x14ac:dyDescent="0.3">
      <c r="A232">
        <v>3000083</v>
      </c>
      <c r="B232" t="s">
        <v>222</v>
      </c>
      <c r="C232" s="7">
        <v>1</v>
      </c>
    </row>
    <row r="233" spans="1:3" x14ac:dyDescent="0.3">
      <c r="A233">
        <v>3000086</v>
      </c>
      <c r="B233" t="s">
        <v>223</v>
      </c>
      <c r="C233" s="7">
        <v>1</v>
      </c>
    </row>
    <row r="234" spans="1:3" x14ac:dyDescent="0.3">
      <c r="A234">
        <v>3000105</v>
      </c>
      <c r="B234" t="s">
        <v>259</v>
      </c>
      <c r="C234" s="7">
        <v>2</v>
      </c>
    </row>
    <row r="235" spans="1:3" x14ac:dyDescent="0.3">
      <c r="A235">
        <v>3000105</v>
      </c>
      <c r="B235" t="s">
        <v>227</v>
      </c>
      <c r="C235" s="7">
        <v>1</v>
      </c>
    </row>
    <row r="236" spans="1:3" x14ac:dyDescent="0.3">
      <c r="A236">
        <v>3000105</v>
      </c>
      <c r="B236" t="s">
        <v>96</v>
      </c>
      <c r="C236" s="7">
        <v>1</v>
      </c>
    </row>
    <row r="237" spans="1:3" x14ac:dyDescent="0.3">
      <c r="A237">
        <v>3000105</v>
      </c>
      <c r="B237" t="s">
        <v>224</v>
      </c>
      <c r="C237" s="7">
        <v>1</v>
      </c>
    </row>
    <row r="238" spans="1:3" x14ac:dyDescent="0.3">
      <c r="A238">
        <v>3000105</v>
      </c>
      <c r="B238" t="s">
        <v>231</v>
      </c>
      <c r="C238" s="7">
        <v>1</v>
      </c>
    </row>
    <row r="239" spans="1:3" x14ac:dyDescent="0.3">
      <c r="A239">
        <v>3000128</v>
      </c>
      <c r="B239" t="s">
        <v>225</v>
      </c>
      <c r="C239" s="7">
        <v>1</v>
      </c>
    </row>
    <row r="240" spans="1:3" x14ac:dyDescent="0.3">
      <c r="A240">
        <v>3000141</v>
      </c>
      <c r="B240" t="s">
        <v>226</v>
      </c>
      <c r="C240" s="7">
        <v>1</v>
      </c>
    </row>
    <row r="241" spans="1:3" x14ac:dyDescent="0.3">
      <c r="A241">
        <v>3000307</v>
      </c>
      <c r="B241" t="s">
        <v>228</v>
      </c>
      <c r="C241" s="7">
        <v>1</v>
      </c>
    </row>
    <row r="242" spans="1:3" x14ac:dyDescent="0.3">
      <c r="A242">
        <v>3000336</v>
      </c>
      <c r="B242" t="s">
        <v>230</v>
      </c>
      <c r="C242" s="7">
        <v>1</v>
      </c>
    </row>
    <row r="243" spans="1:3" x14ac:dyDescent="0.3">
      <c r="A243">
        <v>3000406</v>
      </c>
      <c r="B243" t="s">
        <v>234</v>
      </c>
      <c r="C243" s="7">
        <v>1</v>
      </c>
    </row>
    <row r="244" spans="1:3" x14ac:dyDescent="0.3">
      <c r="A244">
        <v>3000421</v>
      </c>
      <c r="B244" t="s">
        <v>235</v>
      </c>
      <c r="C244" s="7">
        <v>1</v>
      </c>
    </row>
    <row r="245" spans="1:3" x14ac:dyDescent="0.3">
      <c r="A245">
        <v>3000427</v>
      </c>
      <c r="B245" t="s">
        <v>255</v>
      </c>
      <c r="C245" s="7">
        <v>2</v>
      </c>
    </row>
    <row r="246" spans="1:3" x14ac:dyDescent="0.3">
      <c r="A246">
        <v>3000427</v>
      </c>
      <c r="B246" t="s">
        <v>236</v>
      </c>
      <c r="C246" s="7">
        <v>1</v>
      </c>
    </row>
    <row r="247" spans="1:3" x14ac:dyDescent="0.3">
      <c r="A247">
        <v>3000429</v>
      </c>
      <c r="B247" t="s">
        <v>237</v>
      </c>
      <c r="C247" s="7">
        <v>2</v>
      </c>
    </row>
    <row r="248" spans="1:3" x14ac:dyDescent="0.3">
      <c r="A248">
        <v>3000431</v>
      </c>
      <c r="B248" t="s">
        <v>238</v>
      </c>
      <c r="C248" s="7">
        <v>2</v>
      </c>
    </row>
    <row r="249" spans="1:3" x14ac:dyDescent="0.3">
      <c r="A249">
        <v>3000431</v>
      </c>
      <c r="B249" t="s">
        <v>258</v>
      </c>
      <c r="C249" s="7">
        <v>1</v>
      </c>
    </row>
    <row r="250" spans="1:3" x14ac:dyDescent="0.3">
      <c r="A250">
        <v>3000432</v>
      </c>
      <c r="B250" t="s">
        <v>239</v>
      </c>
      <c r="C250" s="7">
        <v>2</v>
      </c>
    </row>
    <row r="251" spans="1:3" x14ac:dyDescent="0.3">
      <c r="A251">
        <v>3000432</v>
      </c>
      <c r="B251" t="s">
        <v>261</v>
      </c>
      <c r="C251" s="7">
        <v>2</v>
      </c>
    </row>
    <row r="252" spans="1:3" x14ac:dyDescent="0.3">
      <c r="A252">
        <v>3000432</v>
      </c>
      <c r="B252" t="s">
        <v>247</v>
      </c>
      <c r="C252" s="7">
        <v>1</v>
      </c>
    </row>
    <row r="253" spans="1:3" x14ac:dyDescent="0.3">
      <c r="A253">
        <v>3000433</v>
      </c>
      <c r="B253" t="s">
        <v>89</v>
      </c>
      <c r="C253" s="7">
        <v>4</v>
      </c>
    </row>
    <row r="254" spans="1:3" x14ac:dyDescent="0.3">
      <c r="A254">
        <v>3000434</v>
      </c>
      <c r="B254" t="s">
        <v>240</v>
      </c>
      <c r="C254" s="7">
        <v>1</v>
      </c>
    </row>
    <row r="255" spans="1:3" x14ac:dyDescent="0.3">
      <c r="A255">
        <v>3000437</v>
      </c>
      <c r="B255" t="s">
        <v>241</v>
      </c>
      <c r="C255" s="7">
        <v>2</v>
      </c>
    </row>
    <row r="256" spans="1:3" x14ac:dyDescent="0.3">
      <c r="A256">
        <v>3000437</v>
      </c>
      <c r="B256" t="s">
        <v>252</v>
      </c>
      <c r="C256" s="7">
        <v>1</v>
      </c>
    </row>
    <row r="257" spans="1:3" x14ac:dyDescent="0.3">
      <c r="A257">
        <v>3000438</v>
      </c>
      <c r="B257" t="s">
        <v>242</v>
      </c>
      <c r="C257" s="7">
        <v>1</v>
      </c>
    </row>
    <row r="258" spans="1:3" x14ac:dyDescent="0.3">
      <c r="A258">
        <v>3000438</v>
      </c>
      <c r="B258" t="s">
        <v>248</v>
      </c>
      <c r="C258" s="7">
        <v>1</v>
      </c>
    </row>
    <row r="259" spans="1:3" x14ac:dyDescent="0.3">
      <c r="A259">
        <v>3000438</v>
      </c>
      <c r="B259" t="s">
        <v>250</v>
      </c>
      <c r="C259" s="7">
        <v>1</v>
      </c>
    </row>
    <row r="260" spans="1:3" x14ac:dyDescent="0.3">
      <c r="A260">
        <v>3000439</v>
      </c>
      <c r="B260" t="s">
        <v>243</v>
      </c>
      <c r="C260" s="7">
        <v>2</v>
      </c>
    </row>
    <row r="261" spans="1:3" x14ac:dyDescent="0.3">
      <c r="A261">
        <v>3000439</v>
      </c>
      <c r="B261" t="s">
        <v>257</v>
      </c>
      <c r="C261" s="7">
        <v>2</v>
      </c>
    </row>
    <row r="262" spans="1:3" x14ac:dyDescent="0.3">
      <c r="A262">
        <v>3000441</v>
      </c>
      <c r="B262" t="s">
        <v>244</v>
      </c>
      <c r="C262" s="7">
        <v>1</v>
      </c>
    </row>
    <row r="263" spans="1:3" x14ac:dyDescent="0.3">
      <c r="A263">
        <v>3000443</v>
      </c>
      <c r="B263" t="s">
        <v>245</v>
      </c>
      <c r="C263" s="7">
        <v>2</v>
      </c>
    </row>
    <row r="264" spans="1:3" x14ac:dyDescent="0.3">
      <c r="A264">
        <v>3000444</v>
      </c>
      <c r="B264" t="s">
        <v>246</v>
      </c>
      <c r="C264" s="7">
        <v>4</v>
      </c>
    </row>
    <row r="265" spans="1:3" x14ac:dyDescent="0.3">
      <c r="A265">
        <v>3000458</v>
      </c>
      <c r="B265" t="s">
        <v>249</v>
      </c>
      <c r="C265" s="7">
        <v>2</v>
      </c>
    </row>
    <row r="266" spans="1:3" x14ac:dyDescent="0.3">
      <c r="A266">
        <v>3000463</v>
      </c>
      <c r="B266" t="s">
        <v>251</v>
      </c>
      <c r="C266" s="7">
        <v>2</v>
      </c>
    </row>
    <row r="267" spans="1:3" x14ac:dyDescent="0.3">
      <c r="A267">
        <v>3000469</v>
      </c>
      <c r="B267" t="s">
        <v>254</v>
      </c>
      <c r="C267" s="7">
        <v>1</v>
      </c>
    </row>
    <row r="268" spans="1:3" x14ac:dyDescent="0.3">
      <c r="A268">
        <v>3000472</v>
      </c>
      <c r="B268" t="s">
        <v>256</v>
      </c>
      <c r="C268" s="7">
        <v>3</v>
      </c>
    </row>
    <row r="269" spans="1:3" x14ac:dyDescent="0.3">
      <c r="A269">
        <v>3000493</v>
      </c>
      <c r="B269" t="s">
        <v>260</v>
      </c>
      <c r="C269" s="7">
        <v>4</v>
      </c>
    </row>
    <row r="270" spans="1:3" x14ac:dyDescent="0.3">
      <c r="A270">
        <v>3000496</v>
      </c>
      <c r="B270" t="s">
        <v>260</v>
      </c>
      <c r="C270" s="7">
        <v>1</v>
      </c>
    </row>
    <row r="271" spans="1:3" x14ac:dyDescent="0.3">
      <c r="A271">
        <v>3000501</v>
      </c>
      <c r="B271" t="s">
        <v>262</v>
      </c>
      <c r="C271" s="7">
        <v>3</v>
      </c>
    </row>
    <row r="272" spans="1:3" x14ac:dyDescent="0.3">
      <c r="A272">
        <v>3000509</v>
      </c>
      <c r="B272" t="s">
        <v>263</v>
      </c>
      <c r="C272" s="7">
        <v>3</v>
      </c>
    </row>
    <row r="273" spans="1:3" x14ac:dyDescent="0.3">
      <c r="A273">
        <v>5000000</v>
      </c>
      <c r="B273" t="s">
        <v>264</v>
      </c>
      <c r="C273" s="7">
        <v>1</v>
      </c>
    </row>
    <row r="274" spans="1:3" x14ac:dyDescent="0.3">
      <c r="A274">
        <v>5000001</v>
      </c>
      <c r="B274" t="s">
        <v>265</v>
      </c>
      <c r="C274" s="7">
        <v>1</v>
      </c>
    </row>
    <row r="275" spans="1:3" x14ac:dyDescent="0.3">
      <c r="A275">
        <v>5000002</v>
      </c>
      <c r="B275" t="s">
        <v>266</v>
      </c>
      <c r="C275" s="7">
        <v>1</v>
      </c>
    </row>
    <row r="276" spans="1:3" x14ac:dyDescent="0.3">
      <c r="A276">
        <v>5000003</v>
      </c>
      <c r="B276" t="s">
        <v>267</v>
      </c>
      <c r="C276" s="7">
        <v>1</v>
      </c>
    </row>
    <row r="277" spans="1:3" x14ac:dyDescent="0.3">
      <c r="A277">
        <v>5000006</v>
      </c>
      <c r="B277" t="s">
        <v>268</v>
      </c>
      <c r="C277" s="7">
        <v>1</v>
      </c>
    </row>
    <row r="278" spans="1:3" x14ac:dyDescent="0.3">
      <c r="A278">
        <v>5000011</v>
      </c>
      <c r="B278" t="s">
        <v>269</v>
      </c>
      <c r="C278" s="7">
        <v>1</v>
      </c>
    </row>
    <row r="279" spans="1:3" x14ac:dyDescent="0.3">
      <c r="A279">
        <v>5000013</v>
      </c>
      <c r="B279" t="s">
        <v>270</v>
      </c>
      <c r="C279" s="7">
        <v>1</v>
      </c>
    </row>
    <row r="280" spans="1:3" x14ac:dyDescent="0.3">
      <c r="A280">
        <v>5000033</v>
      </c>
      <c r="B280" t="s">
        <v>271</v>
      </c>
      <c r="C280" s="7">
        <v>1</v>
      </c>
    </row>
    <row r="281" spans="1:3" x14ac:dyDescent="0.3">
      <c r="A281">
        <v>5000036</v>
      </c>
      <c r="B281" t="s">
        <v>273</v>
      </c>
      <c r="C281" s="7">
        <v>1</v>
      </c>
    </row>
    <row r="282" spans="1:3" x14ac:dyDescent="0.3">
      <c r="A282">
        <v>5000037</v>
      </c>
      <c r="B282" t="s">
        <v>274</v>
      </c>
      <c r="C282" s="7">
        <v>1</v>
      </c>
    </row>
    <row r="283" spans="1:3" x14ac:dyDescent="0.3">
      <c r="A283">
        <v>5000039</v>
      </c>
      <c r="B283" t="s">
        <v>275</v>
      </c>
      <c r="C283" s="7">
        <v>1</v>
      </c>
    </row>
    <row r="284" spans="1:3" x14ac:dyDescent="0.3">
      <c r="A284">
        <v>5000040</v>
      </c>
      <c r="B284" t="s">
        <v>276</v>
      </c>
      <c r="C284" s="7">
        <v>1</v>
      </c>
    </row>
    <row r="285" spans="1:3" x14ac:dyDescent="0.3">
      <c r="A285">
        <v>5000044</v>
      </c>
      <c r="B285" t="s">
        <v>278</v>
      </c>
      <c r="C285" s="7">
        <v>1</v>
      </c>
    </row>
    <row r="286" spans="1:3" x14ac:dyDescent="0.3">
      <c r="A286">
        <v>5000045</v>
      </c>
      <c r="B286" t="s">
        <v>279</v>
      </c>
      <c r="C286" s="7">
        <v>1</v>
      </c>
    </row>
    <row r="287" spans="1:3" x14ac:dyDescent="0.3">
      <c r="A287">
        <v>7000001</v>
      </c>
      <c r="B287" t="s">
        <v>281</v>
      </c>
      <c r="C287" s="7">
        <v>1</v>
      </c>
    </row>
    <row r="288" spans="1:3" x14ac:dyDescent="0.3">
      <c r="A288">
        <v>7000004</v>
      </c>
      <c r="B288" t="s">
        <v>282</v>
      </c>
      <c r="C288" s="7">
        <v>1</v>
      </c>
    </row>
    <row r="289" spans="1:3" x14ac:dyDescent="0.3">
      <c r="A289">
        <v>7000008</v>
      </c>
      <c r="B289" t="s">
        <v>283</v>
      </c>
      <c r="C289" s="7">
        <v>1</v>
      </c>
    </row>
    <row r="290" spans="1:3" x14ac:dyDescent="0.3">
      <c r="A290">
        <v>7000009</v>
      </c>
      <c r="B290" t="s">
        <v>284</v>
      </c>
      <c r="C290" s="7">
        <v>1</v>
      </c>
    </row>
    <row r="291" spans="1:3" x14ac:dyDescent="0.3">
      <c r="A291">
        <v>7000016</v>
      </c>
      <c r="B291" t="s">
        <v>285</v>
      </c>
      <c r="C291" s="7">
        <v>1</v>
      </c>
    </row>
    <row r="292" spans="1:3" x14ac:dyDescent="0.3">
      <c r="A292">
        <v>7000021</v>
      </c>
      <c r="B292" t="s">
        <v>286</v>
      </c>
      <c r="C292" s="7">
        <v>1</v>
      </c>
    </row>
    <row r="293" spans="1:3" x14ac:dyDescent="0.3">
      <c r="A293">
        <v>7000022</v>
      </c>
      <c r="B293" t="s">
        <v>287</v>
      </c>
      <c r="C293" s="7">
        <v>1</v>
      </c>
    </row>
    <row r="294" spans="1:3" x14ac:dyDescent="0.3">
      <c r="A294">
        <v>7000026</v>
      </c>
      <c r="B294" t="s">
        <v>294</v>
      </c>
      <c r="C294" s="7">
        <v>1</v>
      </c>
    </row>
    <row r="295" spans="1:3" x14ac:dyDescent="0.3">
      <c r="A295">
        <v>7000028</v>
      </c>
      <c r="B295" t="s">
        <v>288</v>
      </c>
      <c r="C295" s="7">
        <v>1</v>
      </c>
    </row>
    <row r="296" spans="1:3" x14ac:dyDescent="0.3">
      <c r="A296">
        <v>7000031</v>
      </c>
      <c r="B296" t="s">
        <v>289</v>
      </c>
      <c r="C296" s="7">
        <v>1</v>
      </c>
    </row>
    <row r="297" spans="1:3" x14ac:dyDescent="0.3">
      <c r="A297">
        <v>7000032</v>
      </c>
      <c r="B297" t="s">
        <v>290</v>
      </c>
      <c r="C297" s="7">
        <v>1</v>
      </c>
    </row>
    <row r="298" spans="1:3" x14ac:dyDescent="0.3">
      <c r="A298">
        <v>7000035</v>
      </c>
      <c r="B298" t="s">
        <v>291</v>
      </c>
      <c r="C298" s="7">
        <v>1</v>
      </c>
    </row>
    <row r="299" spans="1:3" x14ac:dyDescent="0.3">
      <c r="A299">
        <v>7000036</v>
      </c>
      <c r="B299" t="s">
        <v>292</v>
      </c>
      <c r="C299" s="7">
        <v>1</v>
      </c>
    </row>
    <row r="300" spans="1:3" x14ac:dyDescent="0.3">
      <c r="A300">
        <v>7000037</v>
      </c>
      <c r="B300" t="s">
        <v>293</v>
      </c>
      <c r="C300" s="7">
        <v>1</v>
      </c>
    </row>
    <row r="301" spans="1:3" x14ac:dyDescent="0.3">
      <c r="A301">
        <v>7000039</v>
      </c>
      <c r="B301" t="s">
        <v>295</v>
      </c>
      <c r="C301" s="7">
        <v>1</v>
      </c>
    </row>
    <row r="302" spans="1:3" x14ac:dyDescent="0.3">
      <c r="A302">
        <v>1400001700</v>
      </c>
      <c r="B302" t="s">
        <v>296</v>
      </c>
      <c r="C302" s="7">
        <v>1</v>
      </c>
    </row>
    <row r="303" spans="1:3" x14ac:dyDescent="0.3">
      <c r="A303">
        <v>1400002400</v>
      </c>
      <c r="B303" t="s">
        <v>297</v>
      </c>
      <c r="C303" s="7">
        <v>1</v>
      </c>
    </row>
    <row r="304" spans="1:3" x14ac:dyDescent="0.3">
      <c r="A304">
        <v>1400004200</v>
      </c>
      <c r="B304" t="s">
        <v>298</v>
      </c>
      <c r="C304" s="7">
        <v>1</v>
      </c>
    </row>
    <row r="305" spans="1:3" x14ac:dyDescent="0.3">
      <c r="A305">
        <v>1400005700</v>
      </c>
      <c r="B305" t="s">
        <v>299</v>
      </c>
      <c r="C305" s="7">
        <v>1</v>
      </c>
    </row>
    <row r="306" spans="1:3" x14ac:dyDescent="0.3">
      <c r="A306">
        <v>1400005800</v>
      </c>
      <c r="B306" t="s">
        <v>300</v>
      </c>
      <c r="C306" s="7">
        <v>1</v>
      </c>
    </row>
    <row r="307" spans="1:3" x14ac:dyDescent="0.3">
      <c r="A307">
        <v>1400006100</v>
      </c>
      <c r="B307" t="s">
        <v>301</v>
      </c>
      <c r="C307" s="7">
        <v>1</v>
      </c>
    </row>
    <row r="308" spans="1:3" x14ac:dyDescent="0.3">
      <c r="A308" t="s">
        <v>302</v>
      </c>
      <c r="B308" t="s">
        <v>303</v>
      </c>
      <c r="C308" s="7">
        <v>1</v>
      </c>
    </row>
    <row r="309" spans="1:3" x14ac:dyDescent="0.3">
      <c r="A309" t="s">
        <v>304</v>
      </c>
      <c r="B309" t="s">
        <v>305</v>
      </c>
      <c r="C309" s="7">
        <v>1</v>
      </c>
    </row>
    <row r="310" spans="1:3" x14ac:dyDescent="0.3">
      <c r="A310" t="s">
        <v>306</v>
      </c>
      <c r="B310" t="s">
        <v>307</v>
      </c>
      <c r="C310" s="7">
        <v>1</v>
      </c>
    </row>
    <row r="311" spans="1:3" x14ac:dyDescent="0.3">
      <c r="A311" t="s">
        <v>308</v>
      </c>
      <c r="B311" t="s">
        <v>309</v>
      </c>
      <c r="C311" s="7">
        <v>1</v>
      </c>
    </row>
    <row r="312" spans="1:3" x14ac:dyDescent="0.3">
      <c r="A312" t="s">
        <v>310</v>
      </c>
      <c r="B312" t="s">
        <v>311</v>
      </c>
      <c r="C312" s="7">
        <v>1</v>
      </c>
    </row>
    <row r="313" spans="1:3" x14ac:dyDescent="0.3">
      <c r="A313" t="s">
        <v>312</v>
      </c>
      <c r="B313" t="s">
        <v>313</v>
      </c>
      <c r="C313" s="7">
        <v>1</v>
      </c>
    </row>
    <row r="314" spans="1:3" x14ac:dyDescent="0.3">
      <c r="A314" t="s">
        <v>314</v>
      </c>
      <c r="B314" t="s">
        <v>315</v>
      </c>
      <c r="C314" s="7">
        <v>1</v>
      </c>
    </row>
    <row r="315" spans="1:3" x14ac:dyDescent="0.3">
      <c r="A315" t="s">
        <v>352</v>
      </c>
      <c r="B315" t="s">
        <v>353</v>
      </c>
      <c r="C315" s="7">
        <v>1</v>
      </c>
    </row>
    <row r="316" spans="1:3" x14ac:dyDescent="0.3">
      <c r="A316" t="s">
        <v>316</v>
      </c>
      <c r="B316" t="s">
        <v>317</v>
      </c>
      <c r="C316" s="7">
        <v>1</v>
      </c>
    </row>
    <row r="317" spans="1:3" x14ac:dyDescent="0.3">
      <c r="A317" t="s">
        <v>318</v>
      </c>
      <c r="B317" t="s">
        <v>319</v>
      </c>
      <c r="C317" s="7">
        <v>1</v>
      </c>
    </row>
    <row r="318" spans="1:3" x14ac:dyDescent="0.3">
      <c r="A318" t="s">
        <v>320</v>
      </c>
      <c r="B318" t="s">
        <v>321</v>
      </c>
      <c r="C318" s="7">
        <v>1</v>
      </c>
    </row>
    <row r="319" spans="1:3" x14ac:dyDescent="0.3">
      <c r="A319" t="s">
        <v>354</v>
      </c>
      <c r="B319" t="s">
        <v>355</v>
      </c>
      <c r="C319" s="7">
        <v>1</v>
      </c>
    </row>
    <row r="320" spans="1:3" x14ac:dyDescent="0.3">
      <c r="A320" t="s">
        <v>356</v>
      </c>
      <c r="B320" t="s">
        <v>357</v>
      </c>
      <c r="C320" s="7">
        <v>1</v>
      </c>
    </row>
    <row r="321" spans="1:3" x14ac:dyDescent="0.3">
      <c r="A321" t="s">
        <v>358</v>
      </c>
      <c r="B321" t="s">
        <v>359</v>
      </c>
      <c r="C321" s="7">
        <v>1</v>
      </c>
    </row>
    <row r="322" spans="1:3" x14ac:dyDescent="0.3">
      <c r="A322" t="s">
        <v>322</v>
      </c>
      <c r="B322" t="s">
        <v>323</v>
      </c>
      <c r="C322" s="7">
        <v>1</v>
      </c>
    </row>
    <row r="323" spans="1:3" x14ac:dyDescent="0.3">
      <c r="A323" t="s">
        <v>324</v>
      </c>
      <c r="B323" t="s">
        <v>325</v>
      </c>
      <c r="C323" s="7">
        <v>1</v>
      </c>
    </row>
    <row r="324" spans="1:3" x14ac:dyDescent="0.3">
      <c r="A324" t="s">
        <v>326</v>
      </c>
      <c r="B324" t="s">
        <v>327</v>
      </c>
      <c r="C324" s="7">
        <v>1</v>
      </c>
    </row>
    <row r="325" spans="1:3" x14ac:dyDescent="0.3">
      <c r="A325" t="s">
        <v>328</v>
      </c>
      <c r="B325" t="s">
        <v>329</v>
      </c>
      <c r="C325" s="7">
        <v>1</v>
      </c>
    </row>
    <row r="326" spans="1:3" x14ac:dyDescent="0.3">
      <c r="A326" t="s">
        <v>330</v>
      </c>
      <c r="B326" t="s">
        <v>331</v>
      </c>
      <c r="C326" s="7">
        <v>1</v>
      </c>
    </row>
    <row r="327" spans="1:3" x14ac:dyDescent="0.3">
      <c r="A327" t="s">
        <v>332</v>
      </c>
      <c r="B327" t="s">
        <v>333</v>
      </c>
      <c r="C327" s="7">
        <v>1</v>
      </c>
    </row>
    <row r="328" spans="1:3" x14ac:dyDescent="0.3">
      <c r="A328" t="s">
        <v>360</v>
      </c>
      <c r="B328" t="s">
        <v>361</v>
      </c>
      <c r="C328" s="7">
        <v>1</v>
      </c>
    </row>
    <row r="329" spans="1:3" x14ac:dyDescent="0.3">
      <c r="A329" t="s">
        <v>334</v>
      </c>
      <c r="B329" t="s">
        <v>335</v>
      </c>
      <c r="C329" s="7">
        <v>1</v>
      </c>
    </row>
    <row r="330" spans="1:3" x14ac:dyDescent="0.3">
      <c r="A330" t="s">
        <v>336</v>
      </c>
      <c r="B330" t="s">
        <v>337</v>
      </c>
      <c r="C330" s="7">
        <v>1</v>
      </c>
    </row>
    <row r="331" spans="1:3" x14ac:dyDescent="0.3">
      <c r="A331" t="s">
        <v>338</v>
      </c>
      <c r="B331" t="s">
        <v>339</v>
      </c>
      <c r="C331" s="7">
        <v>1</v>
      </c>
    </row>
    <row r="332" spans="1:3" x14ac:dyDescent="0.3">
      <c r="A332" t="s">
        <v>340</v>
      </c>
      <c r="B332" t="s">
        <v>341</v>
      </c>
      <c r="C332" s="7">
        <v>1</v>
      </c>
    </row>
    <row r="333" spans="1:3" x14ac:dyDescent="0.3">
      <c r="A333" t="s">
        <v>342</v>
      </c>
      <c r="B333" t="s">
        <v>343</v>
      </c>
      <c r="C333" s="7">
        <v>1</v>
      </c>
    </row>
    <row r="334" spans="1:3" x14ac:dyDescent="0.3">
      <c r="A334" t="s">
        <v>344</v>
      </c>
      <c r="B334" t="s">
        <v>345</v>
      </c>
      <c r="C334" s="7">
        <v>1</v>
      </c>
    </row>
    <row r="335" spans="1:3" x14ac:dyDescent="0.3">
      <c r="A335" t="s">
        <v>346</v>
      </c>
      <c r="B335" t="s">
        <v>347</v>
      </c>
      <c r="C335" s="7">
        <v>1</v>
      </c>
    </row>
    <row r="336" spans="1:3" x14ac:dyDescent="0.3">
      <c r="A336" t="s">
        <v>348</v>
      </c>
      <c r="B336" t="s">
        <v>349</v>
      </c>
      <c r="C336" s="7">
        <v>1</v>
      </c>
    </row>
    <row r="337" spans="1:3" x14ac:dyDescent="0.3">
      <c r="A337" t="s">
        <v>365</v>
      </c>
      <c r="C337" s="7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0823-D90F-4E1F-ABCE-CC98AFDA6FFF}">
  <dimension ref="A1:C88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364</v>
      </c>
      <c r="B1" t="s">
        <v>1</v>
      </c>
      <c r="C1" t="s">
        <v>367</v>
      </c>
    </row>
    <row r="2" spans="1:3" x14ac:dyDescent="0.3">
      <c r="A2">
        <v>1000057</v>
      </c>
      <c r="B2" s="5" t="s">
        <v>2</v>
      </c>
      <c r="C2">
        <v>5</v>
      </c>
    </row>
    <row r="3" spans="1:3" x14ac:dyDescent="0.3">
      <c r="A3">
        <v>1000079</v>
      </c>
      <c r="B3" t="s">
        <v>91</v>
      </c>
      <c r="C3">
        <v>3</v>
      </c>
    </row>
    <row r="4" spans="1:3" x14ac:dyDescent="0.3">
      <c r="A4">
        <v>1000089</v>
      </c>
      <c r="B4" t="s">
        <v>4</v>
      </c>
      <c r="C4">
        <v>5</v>
      </c>
    </row>
    <row r="5" spans="1:3" x14ac:dyDescent="0.3">
      <c r="A5">
        <v>1000471</v>
      </c>
      <c r="B5" t="s">
        <v>14</v>
      </c>
      <c r="C5">
        <v>2</v>
      </c>
    </row>
    <row r="6" spans="1:3" x14ac:dyDescent="0.3">
      <c r="A6">
        <v>1000471</v>
      </c>
      <c r="B6" t="s">
        <v>83</v>
      </c>
      <c r="C6">
        <v>2</v>
      </c>
    </row>
    <row r="7" spans="1:3" x14ac:dyDescent="0.3">
      <c r="A7">
        <v>1000480</v>
      </c>
      <c r="B7" t="s">
        <v>46</v>
      </c>
      <c r="C7">
        <v>2</v>
      </c>
    </row>
    <row r="8" spans="1:3" x14ac:dyDescent="0.3">
      <c r="A8">
        <v>1000639</v>
      </c>
      <c r="B8" t="s">
        <v>26</v>
      </c>
      <c r="C8">
        <v>3</v>
      </c>
    </row>
    <row r="9" spans="1:3" x14ac:dyDescent="0.3">
      <c r="A9">
        <v>1000793</v>
      </c>
      <c r="B9" t="s">
        <v>40</v>
      </c>
      <c r="C9">
        <v>3</v>
      </c>
    </row>
    <row r="10" spans="1:3" x14ac:dyDescent="0.3">
      <c r="A10">
        <v>1000795</v>
      </c>
      <c r="B10" t="s">
        <v>41</v>
      </c>
      <c r="C10">
        <v>2</v>
      </c>
    </row>
    <row r="11" spans="1:3" x14ac:dyDescent="0.3">
      <c r="A11">
        <v>1000797</v>
      </c>
      <c r="B11" t="s">
        <v>43</v>
      </c>
      <c r="C11">
        <v>3</v>
      </c>
    </row>
    <row r="12" spans="1:3" x14ac:dyDescent="0.3">
      <c r="A12">
        <v>1000798</v>
      </c>
      <c r="B12" t="s">
        <v>44</v>
      </c>
      <c r="C12">
        <v>2</v>
      </c>
    </row>
    <row r="13" spans="1:3" x14ac:dyDescent="0.3">
      <c r="A13">
        <v>1000830</v>
      </c>
      <c r="B13" t="s">
        <v>53</v>
      </c>
      <c r="C13">
        <v>2</v>
      </c>
    </row>
    <row r="14" spans="1:3" x14ac:dyDescent="0.3">
      <c r="A14">
        <v>1000857</v>
      </c>
      <c r="B14" t="s">
        <v>60</v>
      </c>
      <c r="C14">
        <v>2</v>
      </c>
    </row>
    <row r="15" spans="1:3" x14ac:dyDescent="0.3">
      <c r="A15">
        <v>1000869</v>
      </c>
      <c r="B15" t="s">
        <v>63</v>
      </c>
      <c r="C15">
        <v>2</v>
      </c>
    </row>
    <row r="16" spans="1:3" x14ac:dyDescent="0.3">
      <c r="A16">
        <v>1000872</v>
      </c>
      <c r="B16" t="s">
        <v>65</v>
      </c>
      <c r="C16">
        <v>2</v>
      </c>
    </row>
    <row r="17" spans="1:3" x14ac:dyDescent="0.3">
      <c r="A17">
        <v>1000877</v>
      </c>
      <c r="B17" t="s">
        <v>102</v>
      </c>
      <c r="C17">
        <v>3</v>
      </c>
    </row>
    <row r="18" spans="1:3" x14ac:dyDescent="0.3">
      <c r="A18">
        <v>1000888</v>
      </c>
      <c r="B18" t="s">
        <v>70</v>
      </c>
      <c r="C18">
        <v>3</v>
      </c>
    </row>
    <row r="19" spans="1:3" x14ac:dyDescent="0.3">
      <c r="A19">
        <v>1000904</v>
      </c>
      <c r="B19" t="s">
        <v>74</v>
      </c>
      <c r="C19">
        <v>3</v>
      </c>
    </row>
    <row r="20" spans="1:3" x14ac:dyDescent="0.3">
      <c r="A20">
        <v>1000905</v>
      </c>
      <c r="B20" t="s">
        <v>113</v>
      </c>
      <c r="C20">
        <v>2</v>
      </c>
    </row>
    <row r="21" spans="1:3" x14ac:dyDescent="0.3">
      <c r="A21">
        <v>1000915</v>
      </c>
      <c r="B21" t="s">
        <v>81</v>
      </c>
      <c r="C21">
        <v>2</v>
      </c>
    </row>
    <row r="22" spans="1:3" x14ac:dyDescent="0.3">
      <c r="A22">
        <v>1000920</v>
      </c>
      <c r="B22" t="s">
        <v>86</v>
      </c>
      <c r="C22">
        <v>3</v>
      </c>
    </row>
    <row r="23" spans="1:3" x14ac:dyDescent="0.3">
      <c r="A23">
        <v>1000924</v>
      </c>
      <c r="B23" t="s">
        <v>85</v>
      </c>
      <c r="C23">
        <v>3</v>
      </c>
    </row>
    <row r="24" spans="1:3" x14ac:dyDescent="0.3">
      <c r="A24">
        <v>1001001</v>
      </c>
      <c r="B24" t="s">
        <v>111</v>
      </c>
      <c r="C24">
        <v>2</v>
      </c>
    </row>
    <row r="25" spans="1:3" x14ac:dyDescent="0.3">
      <c r="A25">
        <v>1001008</v>
      </c>
      <c r="B25" t="s">
        <v>114</v>
      </c>
      <c r="C25">
        <v>2</v>
      </c>
    </row>
    <row r="26" spans="1:3" x14ac:dyDescent="0.3">
      <c r="A26">
        <v>1001017</v>
      </c>
      <c r="B26" t="s">
        <v>118</v>
      </c>
      <c r="C26">
        <v>2</v>
      </c>
    </row>
    <row r="27" spans="1:3" x14ac:dyDescent="0.3">
      <c r="A27">
        <v>1001024</v>
      </c>
      <c r="B27" t="s">
        <v>117</v>
      </c>
      <c r="C27">
        <v>2</v>
      </c>
    </row>
    <row r="28" spans="1:3" x14ac:dyDescent="0.3">
      <c r="A28">
        <v>2000215</v>
      </c>
      <c r="B28" t="s">
        <v>143</v>
      </c>
      <c r="C28">
        <v>2</v>
      </c>
    </row>
    <row r="29" spans="1:3" x14ac:dyDescent="0.3">
      <c r="A29">
        <v>2000239</v>
      </c>
      <c r="B29" t="s">
        <v>129</v>
      </c>
      <c r="C29">
        <v>2</v>
      </c>
    </row>
    <row r="30" spans="1:3" x14ac:dyDescent="0.3">
      <c r="A30">
        <v>2000293</v>
      </c>
      <c r="B30" t="s">
        <v>131</v>
      </c>
      <c r="C30">
        <v>2</v>
      </c>
    </row>
    <row r="31" spans="1:3" x14ac:dyDescent="0.3">
      <c r="A31">
        <v>2000498</v>
      </c>
      <c r="B31" t="s">
        <v>142</v>
      </c>
      <c r="C31">
        <v>2</v>
      </c>
    </row>
    <row r="32" spans="1:3" x14ac:dyDescent="0.3">
      <c r="A32">
        <v>2000514</v>
      </c>
      <c r="B32" t="s">
        <v>139</v>
      </c>
      <c r="C32">
        <v>2</v>
      </c>
    </row>
    <row r="33" spans="1:3" x14ac:dyDescent="0.3">
      <c r="A33">
        <v>2000518</v>
      </c>
      <c r="B33" t="s">
        <v>140</v>
      </c>
      <c r="C33">
        <v>4</v>
      </c>
    </row>
    <row r="34" spans="1:3" x14ac:dyDescent="0.3">
      <c r="A34">
        <v>2000524</v>
      </c>
      <c r="B34" t="s">
        <v>144</v>
      </c>
      <c r="C34">
        <v>3</v>
      </c>
    </row>
    <row r="35" spans="1:3" x14ac:dyDescent="0.3">
      <c r="A35">
        <v>2000525</v>
      </c>
      <c r="B35" t="s">
        <v>145</v>
      </c>
      <c r="C35">
        <v>2</v>
      </c>
    </row>
    <row r="36" spans="1:3" x14ac:dyDescent="0.3">
      <c r="A36">
        <v>2000527</v>
      </c>
      <c r="B36" t="s">
        <v>146</v>
      </c>
      <c r="C36">
        <v>2</v>
      </c>
    </row>
    <row r="37" spans="1:3" x14ac:dyDescent="0.3">
      <c r="A37">
        <v>2000531</v>
      </c>
      <c r="B37" t="s">
        <v>148</v>
      </c>
      <c r="C37">
        <v>4</v>
      </c>
    </row>
    <row r="38" spans="1:3" x14ac:dyDescent="0.3">
      <c r="A38">
        <v>2000536</v>
      </c>
      <c r="B38" t="s">
        <v>152</v>
      </c>
      <c r="C38">
        <v>2</v>
      </c>
    </row>
    <row r="39" spans="1:3" x14ac:dyDescent="0.3">
      <c r="A39">
        <v>2000537</v>
      </c>
      <c r="B39" t="s">
        <v>153</v>
      </c>
      <c r="C39">
        <v>2</v>
      </c>
    </row>
    <row r="40" spans="1:3" x14ac:dyDescent="0.3">
      <c r="A40">
        <v>2000538</v>
      </c>
      <c r="B40" t="s">
        <v>154</v>
      </c>
      <c r="C40">
        <v>2</v>
      </c>
    </row>
    <row r="41" spans="1:3" x14ac:dyDescent="0.3">
      <c r="A41">
        <v>2000543</v>
      </c>
      <c r="B41" t="s">
        <v>155</v>
      </c>
      <c r="C41">
        <v>3</v>
      </c>
    </row>
    <row r="42" spans="1:3" x14ac:dyDescent="0.3">
      <c r="A42">
        <v>2000544</v>
      </c>
      <c r="B42" t="s">
        <v>156</v>
      </c>
      <c r="C42">
        <v>2</v>
      </c>
    </row>
    <row r="43" spans="1:3" x14ac:dyDescent="0.3">
      <c r="A43">
        <v>2000546</v>
      </c>
      <c r="B43" t="s">
        <v>200</v>
      </c>
      <c r="C43">
        <v>3</v>
      </c>
    </row>
    <row r="44" spans="1:3" x14ac:dyDescent="0.3">
      <c r="A44">
        <v>2000546</v>
      </c>
      <c r="B44" t="s">
        <v>158</v>
      </c>
      <c r="C44">
        <v>2</v>
      </c>
    </row>
    <row r="45" spans="1:3" x14ac:dyDescent="0.3">
      <c r="A45">
        <v>2000556</v>
      </c>
      <c r="B45" t="s">
        <v>159</v>
      </c>
      <c r="C45">
        <v>2</v>
      </c>
    </row>
    <row r="46" spans="1:3" x14ac:dyDescent="0.3">
      <c r="A46">
        <v>2000558</v>
      </c>
      <c r="B46" t="s">
        <v>161</v>
      </c>
      <c r="C46">
        <v>3</v>
      </c>
    </row>
    <row r="47" spans="1:3" x14ac:dyDescent="0.3">
      <c r="A47">
        <v>2000564</v>
      </c>
      <c r="B47" t="s">
        <v>209</v>
      </c>
      <c r="C47">
        <v>2</v>
      </c>
    </row>
    <row r="48" spans="1:3" x14ac:dyDescent="0.3">
      <c r="A48">
        <v>2000564</v>
      </c>
      <c r="B48" t="s">
        <v>163</v>
      </c>
      <c r="C48">
        <v>2</v>
      </c>
    </row>
    <row r="49" spans="1:3" x14ac:dyDescent="0.3">
      <c r="A49">
        <v>2000567</v>
      </c>
      <c r="B49" t="s">
        <v>164</v>
      </c>
      <c r="C49">
        <v>2</v>
      </c>
    </row>
    <row r="50" spans="1:3" x14ac:dyDescent="0.3">
      <c r="A50">
        <v>2000574</v>
      </c>
      <c r="B50" t="s">
        <v>166</v>
      </c>
      <c r="C50">
        <v>3</v>
      </c>
    </row>
    <row r="51" spans="1:3" x14ac:dyDescent="0.3">
      <c r="A51">
        <v>2000576</v>
      </c>
      <c r="B51" t="s">
        <v>204</v>
      </c>
      <c r="C51">
        <v>3</v>
      </c>
    </row>
    <row r="52" spans="1:3" x14ac:dyDescent="0.3">
      <c r="A52">
        <v>2000594</v>
      </c>
      <c r="B52" t="s">
        <v>207</v>
      </c>
      <c r="C52">
        <v>2</v>
      </c>
    </row>
    <row r="53" spans="1:3" x14ac:dyDescent="0.3">
      <c r="A53">
        <v>2000594</v>
      </c>
      <c r="B53" t="s">
        <v>160</v>
      </c>
      <c r="C53">
        <v>2</v>
      </c>
    </row>
    <row r="54" spans="1:3" x14ac:dyDescent="0.3">
      <c r="A54">
        <v>2000606</v>
      </c>
      <c r="B54" t="s">
        <v>177</v>
      </c>
      <c r="C54">
        <v>3</v>
      </c>
    </row>
    <row r="55" spans="1:3" x14ac:dyDescent="0.3">
      <c r="A55">
        <v>2000609</v>
      </c>
      <c r="B55" t="s">
        <v>178</v>
      </c>
      <c r="C55">
        <v>2</v>
      </c>
    </row>
    <row r="56" spans="1:3" x14ac:dyDescent="0.3">
      <c r="A56">
        <v>2000611</v>
      </c>
      <c r="B56" t="s">
        <v>194</v>
      </c>
      <c r="C56">
        <v>3</v>
      </c>
    </row>
    <row r="57" spans="1:3" x14ac:dyDescent="0.3">
      <c r="A57">
        <v>2000617</v>
      </c>
      <c r="B57" t="s">
        <v>183</v>
      </c>
      <c r="C57">
        <v>2</v>
      </c>
    </row>
    <row r="58" spans="1:3" x14ac:dyDescent="0.3">
      <c r="A58">
        <v>2000624</v>
      </c>
      <c r="B58" t="s">
        <v>186</v>
      </c>
      <c r="C58">
        <v>2</v>
      </c>
    </row>
    <row r="59" spans="1:3" x14ac:dyDescent="0.3">
      <c r="A59">
        <v>2000629</v>
      </c>
      <c r="B59" t="s">
        <v>189</v>
      </c>
      <c r="C59">
        <v>3</v>
      </c>
    </row>
    <row r="60" spans="1:3" x14ac:dyDescent="0.3">
      <c r="A60">
        <v>2000630</v>
      </c>
      <c r="B60" t="s">
        <v>190</v>
      </c>
      <c r="C60">
        <v>2</v>
      </c>
    </row>
    <row r="61" spans="1:3" x14ac:dyDescent="0.3">
      <c r="A61">
        <v>2000631</v>
      </c>
      <c r="B61" t="s">
        <v>191</v>
      </c>
      <c r="C61">
        <v>2</v>
      </c>
    </row>
    <row r="62" spans="1:3" x14ac:dyDescent="0.3">
      <c r="A62">
        <v>2000633</v>
      </c>
      <c r="B62" t="s">
        <v>193</v>
      </c>
      <c r="C62">
        <v>6</v>
      </c>
    </row>
    <row r="63" spans="1:3" x14ac:dyDescent="0.3">
      <c r="A63">
        <v>2000647</v>
      </c>
      <c r="B63" t="s">
        <v>197</v>
      </c>
      <c r="C63">
        <v>3</v>
      </c>
    </row>
    <row r="64" spans="1:3" x14ac:dyDescent="0.3">
      <c r="A64">
        <v>2000650</v>
      </c>
      <c r="B64" t="s">
        <v>198</v>
      </c>
      <c r="C64">
        <v>4</v>
      </c>
    </row>
    <row r="65" spans="1:3" x14ac:dyDescent="0.3">
      <c r="A65">
        <v>2000688</v>
      </c>
      <c r="B65" t="s">
        <v>202</v>
      </c>
      <c r="C65">
        <v>3</v>
      </c>
    </row>
    <row r="66" spans="1:3" x14ac:dyDescent="0.3">
      <c r="A66">
        <v>2000696</v>
      </c>
      <c r="B66" t="s">
        <v>203</v>
      </c>
      <c r="C66">
        <v>2</v>
      </c>
    </row>
    <row r="67" spans="1:3" x14ac:dyDescent="0.3">
      <c r="A67">
        <v>2000755</v>
      </c>
      <c r="B67" t="s">
        <v>214</v>
      </c>
      <c r="C67">
        <v>2</v>
      </c>
    </row>
    <row r="68" spans="1:3" x14ac:dyDescent="0.3">
      <c r="A68">
        <v>3000079</v>
      </c>
      <c r="B68" t="s">
        <v>253</v>
      </c>
      <c r="C68">
        <v>3</v>
      </c>
    </row>
    <row r="69" spans="1:3" x14ac:dyDescent="0.3">
      <c r="A69">
        <v>3000079</v>
      </c>
      <c r="B69" t="s">
        <v>220</v>
      </c>
      <c r="C69">
        <v>2</v>
      </c>
    </row>
    <row r="70" spans="1:3" x14ac:dyDescent="0.3">
      <c r="A70">
        <v>3000105</v>
      </c>
      <c r="B70" t="s">
        <v>259</v>
      </c>
      <c r="C70">
        <v>2</v>
      </c>
    </row>
    <row r="71" spans="1:3" x14ac:dyDescent="0.3">
      <c r="A71">
        <v>3000427</v>
      </c>
      <c r="B71" t="s">
        <v>255</v>
      </c>
      <c r="C71">
        <v>2</v>
      </c>
    </row>
    <row r="72" spans="1:3" x14ac:dyDescent="0.3">
      <c r="A72">
        <v>3000429</v>
      </c>
      <c r="B72" t="s">
        <v>237</v>
      </c>
      <c r="C72">
        <v>2</v>
      </c>
    </row>
    <row r="73" spans="1:3" x14ac:dyDescent="0.3">
      <c r="A73">
        <v>3000431</v>
      </c>
      <c r="B73" t="s">
        <v>238</v>
      </c>
      <c r="C73">
        <v>2</v>
      </c>
    </row>
    <row r="74" spans="1:3" x14ac:dyDescent="0.3">
      <c r="A74">
        <v>3000432</v>
      </c>
      <c r="B74" t="s">
        <v>239</v>
      </c>
      <c r="C74">
        <v>2</v>
      </c>
    </row>
    <row r="75" spans="1:3" x14ac:dyDescent="0.3">
      <c r="A75">
        <v>3000432</v>
      </c>
      <c r="B75" t="s">
        <v>261</v>
      </c>
      <c r="C75">
        <v>2</v>
      </c>
    </row>
    <row r="76" spans="1:3" x14ac:dyDescent="0.3">
      <c r="A76">
        <v>3000433</v>
      </c>
      <c r="B76" t="s">
        <v>89</v>
      </c>
      <c r="C76">
        <v>4</v>
      </c>
    </row>
    <row r="77" spans="1:3" x14ac:dyDescent="0.3">
      <c r="A77">
        <v>3000437</v>
      </c>
      <c r="B77" t="s">
        <v>241</v>
      </c>
      <c r="C77">
        <v>2</v>
      </c>
    </row>
    <row r="78" spans="1:3" x14ac:dyDescent="0.3">
      <c r="A78">
        <v>3000439</v>
      </c>
      <c r="B78" t="s">
        <v>243</v>
      </c>
      <c r="C78">
        <v>2</v>
      </c>
    </row>
    <row r="79" spans="1:3" x14ac:dyDescent="0.3">
      <c r="A79">
        <v>3000439</v>
      </c>
      <c r="B79" t="s">
        <v>257</v>
      </c>
      <c r="C79">
        <v>2</v>
      </c>
    </row>
    <row r="80" spans="1:3" x14ac:dyDescent="0.3">
      <c r="A80">
        <v>3000443</v>
      </c>
      <c r="B80" t="s">
        <v>245</v>
      </c>
      <c r="C80">
        <v>2</v>
      </c>
    </row>
    <row r="81" spans="1:3" x14ac:dyDescent="0.3">
      <c r="A81">
        <v>3000444</v>
      </c>
      <c r="B81" t="s">
        <v>246</v>
      </c>
      <c r="C81">
        <v>4</v>
      </c>
    </row>
    <row r="82" spans="1:3" x14ac:dyDescent="0.3">
      <c r="A82">
        <v>3000458</v>
      </c>
      <c r="B82" t="s">
        <v>249</v>
      </c>
      <c r="C82">
        <v>2</v>
      </c>
    </row>
    <row r="83" spans="1:3" x14ac:dyDescent="0.3">
      <c r="A83">
        <v>3000463</v>
      </c>
      <c r="B83" t="s">
        <v>251</v>
      </c>
      <c r="C83">
        <v>2</v>
      </c>
    </row>
    <row r="84" spans="1:3" x14ac:dyDescent="0.3">
      <c r="A84">
        <v>3000472</v>
      </c>
      <c r="B84" t="s">
        <v>256</v>
      </c>
      <c r="C84">
        <v>3</v>
      </c>
    </row>
    <row r="85" spans="1:3" x14ac:dyDescent="0.3">
      <c r="A85">
        <v>3000493</v>
      </c>
      <c r="B85" t="s">
        <v>260</v>
      </c>
      <c r="C85">
        <v>4</v>
      </c>
    </row>
    <row r="86" spans="1:3" x14ac:dyDescent="0.3">
      <c r="A86">
        <v>3000501</v>
      </c>
      <c r="B86" t="s">
        <v>262</v>
      </c>
      <c r="C86">
        <v>3</v>
      </c>
    </row>
    <row r="87" spans="1:3" x14ac:dyDescent="0.3">
      <c r="A87">
        <v>3000509</v>
      </c>
      <c r="B87" t="s">
        <v>263</v>
      </c>
      <c r="C87">
        <v>3</v>
      </c>
    </row>
    <row r="88" spans="1:3" x14ac:dyDescent="0.3">
      <c r="A88" t="s">
        <v>365</v>
      </c>
      <c r="C88">
        <v>464</v>
      </c>
    </row>
  </sheetData>
  <autoFilter ref="A1:C88" xr:uid="{ADF75A3B-ECC5-4EDF-BC69-A553481A6121}"/>
  <conditionalFormatting sqref="B2">
    <cfRule type="cellIs" dxfId="2" priority="1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9E41-FAEF-406A-B399-2FA13B698BC8}">
  <dimension ref="A1:D465"/>
  <sheetViews>
    <sheetView tabSelected="1" workbookViewId="0">
      <selection activeCell="A2" sqref="A2"/>
    </sheetView>
  </sheetViews>
  <sheetFormatPr defaultRowHeight="14.4" x14ac:dyDescent="0.3"/>
  <cols>
    <col min="1" max="1" width="18.77734375" bestFit="1" customWidth="1"/>
    <col min="2" max="2" width="38" bestFit="1" customWidth="1"/>
    <col min="3" max="3" width="13.88671875" bestFit="1" customWidth="1"/>
    <col min="4" max="4" width="38" bestFit="1" customWidth="1"/>
  </cols>
  <sheetData>
    <row r="1" spans="1:4" x14ac:dyDescent="0.3">
      <c r="A1" s="1" t="s">
        <v>0</v>
      </c>
      <c r="B1" s="2" t="s">
        <v>1</v>
      </c>
      <c r="C1" s="4" t="s">
        <v>364</v>
      </c>
      <c r="D1" s="4" t="s">
        <v>372</v>
      </c>
    </row>
    <row r="2" spans="1:4" x14ac:dyDescent="0.3">
      <c r="A2" s="3" t="s">
        <v>374</v>
      </c>
      <c r="B2" s="3" t="s">
        <v>260</v>
      </c>
      <c r="C2" s="5">
        <v>3000493</v>
      </c>
      <c r="D2" s="5" t="str">
        <f>VLOOKUP(C2,Sheet2!A:C,3,0)</f>
        <v>شركة وهج الاصيل للمقاولات شركة شخص واحد</v>
      </c>
    </row>
    <row r="3" spans="1:4" x14ac:dyDescent="0.3">
      <c r="A3" s="3">
        <v>3000494</v>
      </c>
      <c r="B3" s="3" t="s">
        <v>260</v>
      </c>
      <c r="C3" s="5">
        <v>3000493</v>
      </c>
      <c r="D3" s="5" t="str">
        <f>VLOOKUP(C3,Sheet2!A:C,3,0)</f>
        <v>شركة وهج الاصيل للمقاولات شركة شخص واحد</v>
      </c>
    </row>
    <row r="4" spans="1:4" x14ac:dyDescent="0.3">
      <c r="A4" s="3">
        <v>3000495</v>
      </c>
      <c r="B4" s="3" t="s">
        <v>260</v>
      </c>
      <c r="C4" s="5">
        <v>3000493</v>
      </c>
      <c r="D4" s="5" t="str">
        <f>VLOOKUP(C4,Sheet2!A:C,3,0)</f>
        <v>شركة وهج الاصيل للمقاولات شركة شخص واحد</v>
      </c>
    </row>
    <row r="5" spans="1:4" x14ac:dyDescent="0.3">
      <c r="A5" s="3">
        <v>3000496</v>
      </c>
      <c r="B5" s="3" t="s">
        <v>260</v>
      </c>
      <c r="C5" s="5">
        <v>3000496</v>
      </c>
      <c r="D5" s="5" t="str">
        <f>VLOOKUP(C5,Sheet2!A:C,3,0)</f>
        <v>شركة وهج الاصيل للمقاولات شركة شخص واحد</v>
      </c>
    </row>
    <row r="6" spans="1:4" x14ac:dyDescent="0.3">
      <c r="A6" s="3">
        <v>3000507</v>
      </c>
      <c r="B6" s="3" t="s">
        <v>260</v>
      </c>
      <c r="C6" s="5">
        <v>3000493</v>
      </c>
      <c r="D6" s="5" t="str">
        <f>VLOOKUP(C6,Sheet2!A:C,3,0)</f>
        <v>شركة وهج الاصيل للمقاولات شركة شخص واحد</v>
      </c>
    </row>
    <row r="7" spans="1:4" x14ac:dyDescent="0.3">
      <c r="A7" s="3">
        <v>1000796</v>
      </c>
      <c r="B7" s="3" t="s">
        <v>42</v>
      </c>
      <c r="C7" s="5" t="s">
        <v>373</v>
      </c>
      <c r="D7" s="5" t="e">
        <f>VLOOKUP(C7,Sheet2!A:C,3,0)</f>
        <v>#N/A</v>
      </c>
    </row>
    <row r="8" spans="1:4" x14ac:dyDescent="0.3">
      <c r="A8" s="3">
        <v>1000565</v>
      </c>
      <c r="B8" s="3" t="s">
        <v>18</v>
      </c>
      <c r="C8" s="5">
        <v>1000565</v>
      </c>
      <c r="D8" s="5" t="str">
        <f>VLOOKUP(C8,Sheet2!A:C,3,0)</f>
        <v>Zill Najd Trading Co.</v>
      </c>
    </row>
    <row r="9" spans="1:4" x14ac:dyDescent="0.3">
      <c r="A9" s="3">
        <v>1000979</v>
      </c>
      <c r="B9" s="3" t="s">
        <v>104</v>
      </c>
      <c r="C9" s="5">
        <v>1000979</v>
      </c>
      <c r="D9" s="5" t="str">
        <f>VLOOKUP(C9,Sheet2!A:C,3,0)</f>
        <v>Zension Saudi Information</v>
      </c>
    </row>
    <row r="10" spans="1:4" x14ac:dyDescent="0.3">
      <c r="A10" s="3">
        <v>2000422</v>
      </c>
      <c r="B10" s="3" t="s">
        <v>134</v>
      </c>
      <c r="C10" s="5">
        <v>2000422</v>
      </c>
      <c r="D10" s="5" t="str">
        <f>VLOOKUP(C10,Sheet2!A:C,3,0)</f>
        <v>Zelal al jasmin Trading</v>
      </c>
    </row>
    <row r="11" spans="1:4" x14ac:dyDescent="0.3">
      <c r="A11" s="3">
        <v>1000790</v>
      </c>
      <c r="B11" s="3" t="s">
        <v>38</v>
      </c>
      <c r="C11" s="5">
        <v>1000790</v>
      </c>
      <c r="D11" s="5" t="str">
        <f>VLOOKUP(C11,Sheet2!A:C,3,0)</f>
        <v>Zed Game Trading Company</v>
      </c>
    </row>
    <row r="12" spans="1:4" x14ac:dyDescent="0.3">
      <c r="A12" s="3">
        <v>2000113</v>
      </c>
      <c r="B12" s="3" t="s">
        <v>124</v>
      </c>
      <c r="C12" s="5">
        <v>2000113</v>
      </c>
      <c r="D12" s="5" t="str">
        <f>VLOOKUP(C12,Sheet2!A:C,3,0)</f>
        <v>Zaid First Trading Company</v>
      </c>
    </row>
    <row r="13" spans="1:4" x14ac:dyDescent="0.3">
      <c r="A13" s="3">
        <v>2000738</v>
      </c>
      <c r="B13" s="3" t="s">
        <v>212</v>
      </c>
      <c r="C13" s="5">
        <v>2000738</v>
      </c>
      <c r="D13" s="5" t="str">
        <f>VLOOKUP(C13,Sheet2!A:C,3,0)</f>
        <v>Zagzoog For Home Appliances Co LTD</v>
      </c>
    </row>
    <row r="14" spans="1:4" x14ac:dyDescent="0.3">
      <c r="A14" s="3">
        <v>3000434</v>
      </c>
      <c r="B14" s="3" t="s">
        <v>240</v>
      </c>
      <c r="C14" s="5">
        <v>3000434</v>
      </c>
      <c r="D14" s="5" t="str">
        <f>VLOOKUP(C14,Sheet2!A:C,3,0)</f>
        <v>Youssef Abdel Wahab Al Mousa</v>
      </c>
    </row>
    <row r="15" spans="1:4" x14ac:dyDescent="0.3">
      <c r="A15" s="3">
        <v>1000797</v>
      </c>
      <c r="B15" s="3" t="s">
        <v>43</v>
      </c>
      <c r="C15" s="5">
        <v>1000797</v>
      </c>
      <c r="D15" s="5" t="str">
        <f>VLOOKUP(C15,Sheet2!A:C,3,0)</f>
        <v>Yousef Abdul Karim Mohammed</v>
      </c>
    </row>
    <row r="16" spans="1:4" x14ac:dyDescent="0.3">
      <c r="A16" s="3">
        <v>1000859</v>
      </c>
      <c r="B16" s="3" t="s">
        <v>43</v>
      </c>
      <c r="C16" s="5">
        <v>1000797</v>
      </c>
      <c r="D16" s="5" t="str">
        <f>VLOOKUP(C16,Sheet2!A:C,3,0)</f>
        <v>Yousef Abdul Karim Mohammed</v>
      </c>
    </row>
    <row r="17" spans="1:4" x14ac:dyDescent="0.3">
      <c r="A17" s="3">
        <v>1000885</v>
      </c>
      <c r="B17" s="3" t="s">
        <v>43</v>
      </c>
      <c r="C17" s="5">
        <v>1000797</v>
      </c>
      <c r="D17" s="5" t="str">
        <f>VLOOKUP(C17,Sheet2!A:C,3,0)</f>
        <v>Yousef Abdul Karim Mohammed</v>
      </c>
    </row>
    <row r="18" spans="1:4" x14ac:dyDescent="0.3">
      <c r="A18" s="3">
        <v>1001014</v>
      </c>
      <c r="B18" s="3" t="s">
        <v>116</v>
      </c>
      <c r="C18" s="5">
        <v>1000797</v>
      </c>
      <c r="D18" s="5" t="str">
        <f>VLOOKUP(C18,Sheet2!A:C,3,0)</f>
        <v>Yousef Abdul Karim Mohammed</v>
      </c>
    </row>
    <row r="19" spans="1:4" x14ac:dyDescent="0.3">
      <c r="A19" s="3">
        <v>1000764</v>
      </c>
      <c r="B19" s="3" t="s">
        <v>362</v>
      </c>
      <c r="C19" s="5">
        <v>1000764</v>
      </c>
      <c r="D19" s="5" t="str">
        <f>VLOOKUP(C19,Sheet2!A:C,3,0)</f>
        <v>YouGotaGift</v>
      </c>
    </row>
    <row r="20" spans="1:4" x14ac:dyDescent="0.3">
      <c r="A20" s="3">
        <v>5000002</v>
      </c>
      <c r="B20" s="3" t="s">
        <v>266</v>
      </c>
      <c r="C20" s="5">
        <v>5000002</v>
      </c>
      <c r="D20" s="5" t="str">
        <f>VLOOKUP(C20,Sheet2!A:C,3,0)</f>
        <v>WR Makkah SVC</v>
      </c>
    </row>
    <row r="21" spans="1:4" x14ac:dyDescent="0.3">
      <c r="A21" s="3">
        <v>5000003</v>
      </c>
      <c r="B21" s="3" t="s">
        <v>267</v>
      </c>
      <c r="C21" s="5">
        <v>5000003</v>
      </c>
      <c r="D21" s="5" t="str">
        <f>VLOOKUP(C21,Sheet2!A:C,3,0)</f>
        <v>WR Madina SVC</v>
      </c>
    </row>
    <row r="22" spans="1:4" x14ac:dyDescent="0.3">
      <c r="A22" s="3">
        <v>5000001</v>
      </c>
      <c r="B22" s="3" t="s">
        <v>265</v>
      </c>
      <c r="C22" s="5">
        <v>5000001</v>
      </c>
      <c r="D22" s="5" t="str">
        <f>VLOOKUP(C22,Sheet2!A:C,3,0)</f>
        <v>WR Khamis Mushayat SVC</v>
      </c>
    </row>
    <row r="23" spans="1:4" x14ac:dyDescent="0.3">
      <c r="A23" s="3">
        <v>5000000</v>
      </c>
      <c r="B23" s="3" t="s">
        <v>264</v>
      </c>
      <c r="C23" s="5">
        <v>5000000</v>
      </c>
      <c r="D23" s="5" t="str">
        <f>VLOOKUP(C23,Sheet2!A:C,3,0)</f>
        <v>WR Jeddah Main SVC</v>
      </c>
    </row>
    <row r="24" spans="1:4" x14ac:dyDescent="0.3">
      <c r="A24" s="3">
        <v>7000039</v>
      </c>
      <c r="B24" s="3" t="s">
        <v>295</v>
      </c>
      <c r="C24" s="5">
        <v>7000039</v>
      </c>
      <c r="D24" s="5" t="str">
        <f>VLOOKUP(C24,Sheet2!A:C,3,0)</f>
        <v>WORLD INVENTIONS TRADING FZE</v>
      </c>
    </row>
    <row r="25" spans="1:4" x14ac:dyDescent="0.3">
      <c r="A25" s="3">
        <v>1001031</v>
      </c>
      <c r="B25" s="3" t="s">
        <v>120</v>
      </c>
      <c r="C25" s="5">
        <v>1001031</v>
      </c>
      <c r="D25" s="5" t="str">
        <f>VLOOKUP(C25,Sheet2!A:C,3,0)</f>
        <v>WINDMASON CO</v>
      </c>
    </row>
    <row r="26" spans="1:4" x14ac:dyDescent="0.3">
      <c r="A26" s="3">
        <v>1000814</v>
      </c>
      <c r="B26" s="3" t="s">
        <v>49</v>
      </c>
      <c r="C26" s="5">
        <v>1000815</v>
      </c>
      <c r="D26" s="5" t="str">
        <f>VLOOKUP(C26,Sheet2!A:C,3,0)</f>
        <v>Wahba Trading Co. Ltd_CAV</v>
      </c>
    </row>
    <row r="27" spans="1:4" x14ac:dyDescent="0.3">
      <c r="A27" s="3">
        <v>1000815</v>
      </c>
      <c r="B27" s="3" t="s">
        <v>50</v>
      </c>
      <c r="C27" s="5">
        <v>1000815</v>
      </c>
      <c r="D27" s="5" t="str">
        <f>VLOOKUP(C27,Sheet2!A:C,3,0)</f>
        <v>Wahba Trading Co. Ltd_CAV</v>
      </c>
    </row>
    <row r="28" spans="1:4" x14ac:dyDescent="0.3">
      <c r="A28" s="3">
        <v>2000531</v>
      </c>
      <c r="B28" s="3" t="s">
        <v>148</v>
      </c>
      <c r="C28" s="5">
        <v>2000531</v>
      </c>
      <c r="D28" s="5" t="str">
        <f>VLOOKUP(C28,Sheet2!A:C,3,0)</f>
        <v>United Vision Trading Company</v>
      </c>
    </row>
    <row r="29" spans="1:4" x14ac:dyDescent="0.3">
      <c r="A29" s="3">
        <v>2000599</v>
      </c>
      <c r="B29" s="3" t="s">
        <v>148</v>
      </c>
      <c r="C29" s="5">
        <v>2000531</v>
      </c>
      <c r="D29" s="5" t="str">
        <f>VLOOKUP(C29,Sheet2!A:C,3,0)</f>
        <v>United Vision Trading Company</v>
      </c>
    </row>
    <row r="30" spans="1:4" x14ac:dyDescent="0.3">
      <c r="A30" s="3">
        <v>2000612</v>
      </c>
      <c r="B30" s="3" t="s">
        <v>148</v>
      </c>
      <c r="C30" s="5">
        <v>2000531</v>
      </c>
      <c r="D30" s="5" t="str">
        <f>VLOOKUP(C30,Sheet2!A:C,3,0)</f>
        <v>United Vision Trading Company</v>
      </c>
    </row>
    <row r="31" spans="1:4" x14ac:dyDescent="0.3">
      <c r="A31" s="3">
        <v>2000681</v>
      </c>
      <c r="B31" s="3" t="s">
        <v>148</v>
      </c>
      <c r="C31" s="5">
        <v>2000531</v>
      </c>
      <c r="D31" s="5" t="str">
        <f>VLOOKUP(C31,Sheet2!A:C,3,0)</f>
        <v>United Vision Trading Company</v>
      </c>
    </row>
    <row r="32" spans="1:4" x14ac:dyDescent="0.3">
      <c r="A32" s="3">
        <v>1001008</v>
      </c>
      <c r="B32" s="3" t="s">
        <v>114</v>
      </c>
      <c r="C32" s="5">
        <v>1001008</v>
      </c>
      <c r="D32" s="5" t="str">
        <f>VLOOKUP(C32,Sheet2!A:C,3,0)</f>
        <v>TRENDYOL AL ARABIA For Trading Comp</v>
      </c>
    </row>
    <row r="33" spans="1:4" x14ac:dyDescent="0.3">
      <c r="A33" s="3">
        <v>1001013</v>
      </c>
      <c r="B33" s="3" t="s">
        <v>114</v>
      </c>
      <c r="C33" s="5">
        <v>1001008</v>
      </c>
      <c r="D33" s="5" t="str">
        <f>VLOOKUP(C33,Sheet2!A:C,3,0)</f>
        <v>TRENDYOL AL ARABIA For Trading Comp</v>
      </c>
    </row>
    <row r="34" spans="1:4" x14ac:dyDescent="0.3">
      <c r="A34" s="3">
        <v>2000572</v>
      </c>
      <c r="B34" s="3" t="s">
        <v>165</v>
      </c>
      <c r="C34" s="5">
        <v>2000572</v>
      </c>
      <c r="D34" s="5" t="str">
        <f>VLOOKUP(C34,Sheet2!A:C,3,0)</f>
        <v>Toy Ship Foundation</v>
      </c>
    </row>
    <row r="35" spans="1:4" x14ac:dyDescent="0.3">
      <c r="A35" s="3">
        <v>1000929</v>
      </c>
      <c r="B35" s="3" t="s">
        <v>88</v>
      </c>
      <c r="C35" s="5">
        <v>1000929</v>
      </c>
      <c r="D35" s="5" t="str">
        <f>VLOOKUP(C35,Sheet2!A:C,3,0)</f>
        <v>Todo commercial company</v>
      </c>
    </row>
    <row r="36" spans="1:4" x14ac:dyDescent="0.3">
      <c r="A36" s="3">
        <v>1000948</v>
      </c>
      <c r="B36" s="3" t="s">
        <v>99</v>
      </c>
      <c r="C36" s="5">
        <v>1000948</v>
      </c>
      <c r="D36" s="5" t="str">
        <f>VLOOKUP(C36,Sheet2!A:C,3,0)</f>
        <v>The third communication company for</v>
      </c>
    </row>
    <row r="37" spans="1:4" x14ac:dyDescent="0.3">
      <c r="A37" s="3">
        <v>1001016</v>
      </c>
      <c r="B37" s="3" t="s">
        <v>117</v>
      </c>
      <c r="C37" s="5">
        <v>1001016</v>
      </c>
      <c r="D37" s="5" t="str">
        <f>VLOOKUP(C37,Sheet2!A:C,3,0)</f>
        <v>The Saudi Company for Tools and Har</v>
      </c>
    </row>
    <row r="38" spans="1:4" x14ac:dyDescent="0.3">
      <c r="A38" s="3">
        <v>1001024</v>
      </c>
      <c r="B38" s="3" t="s">
        <v>117</v>
      </c>
      <c r="C38" s="5">
        <v>1001024</v>
      </c>
      <c r="D38" s="5" t="str">
        <f>VLOOKUP(C38,Sheet2!A:C,3,0)</f>
        <v>The Saudi Company for Tools and Har</v>
      </c>
    </row>
    <row r="39" spans="1:4" x14ac:dyDescent="0.3">
      <c r="A39" s="3">
        <v>1001025</v>
      </c>
      <c r="B39" s="3" t="s">
        <v>117</v>
      </c>
      <c r="C39" s="5">
        <v>1001024</v>
      </c>
      <c r="D39" s="5" t="str">
        <f>VLOOKUP(C39,Sheet2!A:C,3,0)</f>
        <v>The Saudi Company for Tools and Har</v>
      </c>
    </row>
    <row r="40" spans="1:4" x14ac:dyDescent="0.3">
      <c r="A40" s="3">
        <v>1000283</v>
      </c>
      <c r="B40" s="3" t="s">
        <v>10</v>
      </c>
      <c r="C40" s="5">
        <v>1000283</v>
      </c>
      <c r="D40" s="5" t="str">
        <f>VLOOKUP(C40,Sheet2!A:C,3,0)</f>
        <v>The group El-Emar Gulf International</v>
      </c>
    </row>
    <row r="41" spans="1:4" x14ac:dyDescent="0.3">
      <c r="A41" s="3">
        <v>7000028</v>
      </c>
      <c r="B41" s="3" t="s">
        <v>288</v>
      </c>
      <c r="C41" s="5">
        <v>7000028</v>
      </c>
      <c r="D41" s="5" t="str">
        <f>VLOOKUP(C41,Sheet2!A:C,3,0)</f>
        <v>The Copyright Promotions Licensing</v>
      </c>
    </row>
    <row r="42" spans="1:4" x14ac:dyDescent="0.3">
      <c r="A42" s="3">
        <v>1000951</v>
      </c>
      <c r="B42" s="3" t="s">
        <v>350</v>
      </c>
      <c r="C42" s="5">
        <v>1000951</v>
      </c>
      <c r="D42" s="5" t="str">
        <f>VLOOKUP(C42,Sheet2!A:C,3,0)</f>
        <v>Technical Refrigeration W</v>
      </c>
    </row>
    <row r="43" spans="1:4" x14ac:dyDescent="0.3">
      <c r="A43" s="3">
        <v>1000434</v>
      </c>
      <c r="B43" s="3" t="s">
        <v>11</v>
      </c>
      <c r="C43" s="5">
        <v>1000434</v>
      </c>
      <c r="D43" s="5" t="str">
        <f>VLOOKUP(C43,Sheet2!A:C,3,0)</f>
        <v>Tech ly</v>
      </c>
    </row>
    <row r="44" spans="1:4" x14ac:dyDescent="0.3">
      <c r="A44" s="3">
        <v>1000942</v>
      </c>
      <c r="B44" s="3" t="s">
        <v>94</v>
      </c>
      <c r="C44" s="5">
        <v>2000498</v>
      </c>
      <c r="D44" s="5" t="str">
        <f>VLOOKUP(C44,Sheet2!A:C,3,0)</f>
        <v>Tamkeen International for Home</v>
      </c>
    </row>
    <row r="45" spans="1:4" x14ac:dyDescent="0.3">
      <c r="A45" s="3">
        <v>2000520</v>
      </c>
      <c r="B45" s="3" t="s">
        <v>142</v>
      </c>
      <c r="C45" s="5">
        <v>2000498</v>
      </c>
      <c r="D45" s="5" t="str">
        <f>VLOOKUP(C45,Sheet2!A:C,3,0)</f>
        <v>Tamkeen International for Home</v>
      </c>
    </row>
    <row r="46" spans="1:4" x14ac:dyDescent="0.3">
      <c r="A46" s="3">
        <v>2000619</v>
      </c>
      <c r="B46" s="3" t="s">
        <v>142</v>
      </c>
      <c r="C46" s="5">
        <v>2000498</v>
      </c>
      <c r="D46" s="5" t="str">
        <f>VLOOKUP(C46,Sheet2!A:C,3,0)</f>
        <v>Tamkeen International for Home</v>
      </c>
    </row>
    <row r="47" spans="1:4" x14ac:dyDescent="0.3">
      <c r="A47" s="3">
        <v>5000044</v>
      </c>
      <c r="B47" s="3" t="s">
        <v>278</v>
      </c>
      <c r="C47" s="5">
        <v>5000044</v>
      </c>
      <c r="D47" s="5" t="str">
        <f>VLOOKUP(C47,Sheet2!A:C,3,0)</f>
        <v>Tamer Arabia Trading Company</v>
      </c>
    </row>
    <row r="48" spans="1:4" x14ac:dyDescent="0.3">
      <c r="A48" s="3">
        <v>1000970</v>
      </c>
      <c r="B48" s="3" t="s">
        <v>101</v>
      </c>
      <c r="C48" s="5">
        <v>1000970</v>
      </c>
      <c r="D48" s="5" t="str">
        <f>VLOOKUP(C48,Sheet2!A:C,3,0)</f>
        <v>Tajer BV for IT Co One Person Compa</v>
      </c>
    </row>
    <row r="49" spans="1:4" x14ac:dyDescent="0.3">
      <c r="A49" s="3">
        <v>2000514</v>
      </c>
      <c r="B49" s="3" t="s">
        <v>139</v>
      </c>
      <c r="C49" s="5">
        <v>2000514</v>
      </c>
      <c r="D49" s="5" t="str">
        <f>VLOOKUP(C49,Sheet2!A:C,3,0)</f>
        <v>Tafaroud Alroyah Co. for Investment</v>
      </c>
    </row>
    <row r="50" spans="1:4" x14ac:dyDescent="0.3">
      <c r="A50" s="3">
        <v>2000569</v>
      </c>
      <c r="B50" s="3" t="s">
        <v>139</v>
      </c>
      <c r="C50" s="5">
        <v>2000514</v>
      </c>
      <c r="D50" s="5" t="str">
        <f>VLOOKUP(C50,Sheet2!A:C,3,0)</f>
        <v>Tafaroud Alroyah Co. for Investment</v>
      </c>
    </row>
    <row r="51" spans="1:4" x14ac:dyDescent="0.3">
      <c r="A51" s="3">
        <v>2000625</v>
      </c>
      <c r="B51" s="3" t="s">
        <v>187</v>
      </c>
      <c r="C51" s="5">
        <v>2000514</v>
      </c>
      <c r="D51" s="5" t="str">
        <f>VLOOKUP(C51,Sheet2!A:C,3,0)</f>
        <v>Tafaroud Alroyah Co. for Investment</v>
      </c>
    </row>
    <row r="52" spans="1:4" x14ac:dyDescent="0.3">
      <c r="A52" s="3" t="s">
        <v>344</v>
      </c>
      <c r="B52" s="3" t="s">
        <v>345</v>
      </c>
      <c r="C52" s="5" t="s">
        <v>344</v>
      </c>
      <c r="D52" s="5" t="str">
        <f>VLOOKUP(C52,Sheet2!A:C,3,0)</f>
        <v>Tabuk Showroom</v>
      </c>
    </row>
    <row r="53" spans="1:4" x14ac:dyDescent="0.3">
      <c r="A53" s="3">
        <v>2000534</v>
      </c>
      <c r="B53" s="3" t="s">
        <v>150</v>
      </c>
      <c r="C53" s="5">
        <v>2000534</v>
      </c>
      <c r="D53" s="5" t="str">
        <f>VLOOKUP(C53,Sheet2!A:C,3,0)</f>
        <v>Summer Breeze Trading Company</v>
      </c>
    </row>
    <row r="54" spans="1:4" x14ac:dyDescent="0.3">
      <c r="A54" s="3">
        <v>2000006</v>
      </c>
      <c r="B54" s="3" t="s">
        <v>122</v>
      </c>
      <c r="C54" s="5">
        <v>2000006</v>
      </c>
      <c r="D54" s="5" t="str">
        <f>VLOOKUP(C54,Sheet2!A:C,3,0)</f>
        <v>Sultan Bawahab_Binzagar St</v>
      </c>
    </row>
    <row r="55" spans="1:4" x14ac:dyDescent="0.3">
      <c r="A55" s="3">
        <v>1000819</v>
      </c>
      <c r="B55" s="3" t="s">
        <v>51</v>
      </c>
      <c r="C55" s="5">
        <v>1000819</v>
      </c>
      <c r="D55" s="5" t="str">
        <f>VLOOKUP(C55,Sheet2!A:C,3,0)</f>
        <v>Sroor Obaid Alhamazani</v>
      </c>
    </row>
    <row r="56" spans="1:4" x14ac:dyDescent="0.3">
      <c r="A56" s="3" t="s">
        <v>328</v>
      </c>
      <c r="B56" s="3" t="s">
        <v>329</v>
      </c>
      <c r="C56" s="5" t="s">
        <v>328</v>
      </c>
      <c r="D56" s="5" t="str">
        <f>VLOOKUP(C56,Sheet2!A:C,3,0)</f>
        <v>SONYWORLD.SA</v>
      </c>
    </row>
    <row r="57" spans="1:4" x14ac:dyDescent="0.3">
      <c r="A57" s="3" t="s">
        <v>338</v>
      </c>
      <c r="B57" s="3" t="s">
        <v>339</v>
      </c>
      <c r="C57" s="5" t="s">
        <v>338</v>
      </c>
      <c r="D57" s="5" t="str">
        <f>VLOOKUP(C57,Sheet2!A:C,3,0)</f>
        <v>Sony Showroom Warood</v>
      </c>
    </row>
    <row r="58" spans="1:4" x14ac:dyDescent="0.3">
      <c r="A58" s="3">
        <v>7000001</v>
      </c>
      <c r="B58" s="3" t="s">
        <v>281</v>
      </c>
      <c r="C58" s="5">
        <v>7000001</v>
      </c>
      <c r="D58" s="5" t="str">
        <f>VLOOKUP(C58,Sheet2!A:C,3,0)</f>
        <v>Sony Middle East And Africa</v>
      </c>
    </row>
    <row r="59" spans="1:4" x14ac:dyDescent="0.3">
      <c r="A59" s="3">
        <v>7000004</v>
      </c>
      <c r="B59" s="3" t="s">
        <v>282</v>
      </c>
      <c r="C59" s="5">
        <v>7000004</v>
      </c>
      <c r="D59" s="5" t="str">
        <f>VLOOKUP(C59,Sheet2!A:C,3,0)</f>
        <v>Sony Interactive Entertainment Europe</v>
      </c>
    </row>
    <row r="60" spans="1:4" x14ac:dyDescent="0.3">
      <c r="A60" s="3">
        <v>2000602</v>
      </c>
      <c r="B60" s="3" t="s">
        <v>175</v>
      </c>
      <c r="C60" s="5">
        <v>2000602</v>
      </c>
      <c r="D60" s="5" t="str">
        <f>VLOOKUP(C60,Sheet2!A:C,3,0)</f>
        <v>Somaya Mohammed Al-Ghamdi</v>
      </c>
    </row>
    <row r="61" spans="1:4" x14ac:dyDescent="0.3">
      <c r="A61" s="3">
        <v>1001027</v>
      </c>
      <c r="B61" s="3" t="s">
        <v>351</v>
      </c>
      <c r="C61" s="5">
        <v>1001027</v>
      </c>
      <c r="D61" s="5" t="str">
        <f>VLOOKUP(C61,Sheet2!A:C,3,0)</f>
        <v>Smart Sources Company</v>
      </c>
    </row>
    <row r="62" spans="1:4" x14ac:dyDescent="0.3">
      <c r="A62" s="3">
        <v>2000587</v>
      </c>
      <c r="B62" s="3" t="s">
        <v>170</v>
      </c>
      <c r="C62" s="5">
        <v>2000587</v>
      </c>
      <c r="D62" s="5" t="str">
        <f>VLOOKUP(C62,Sheet2!A:C,3,0)</f>
        <v>Smart Air Conditioning Corner</v>
      </c>
    </row>
    <row r="63" spans="1:4" x14ac:dyDescent="0.3">
      <c r="A63" s="3">
        <v>1000888</v>
      </c>
      <c r="B63" s="3" t="s">
        <v>70</v>
      </c>
      <c r="C63" s="5">
        <v>1000888</v>
      </c>
      <c r="D63" s="5" t="str">
        <f>VLOOKUP(C63,Sheet2!A:C,3,0)</f>
        <v>Silver Dome Trading Est</v>
      </c>
    </row>
    <row r="64" spans="1:4" x14ac:dyDescent="0.3">
      <c r="A64" s="3">
        <v>1001028</v>
      </c>
      <c r="B64" s="3" t="s">
        <v>70</v>
      </c>
      <c r="C64" s="5">
        <v>1000888</v>
      </c>
      <c r="D64" s="5" t="str">
        <f>VLOOKUP(C64,Sheet2!A:C,3,0)</f>
        <v>Silver Dome Trading Est</v>
      </c>
    </row>
    <row r="65" spans="1:4" x14ac:dyDescent="0.3">
      <c r="A65" s="3">
        <v>1001029</v>
      </c>
      <c r="B65" s="3" t="s">
        <v>70</v>
      </c>
      <c r="C65" s="5">
        <v>1000888</v>
      </c>
      <c r="D65" s="5" t="str">
        <f>VLOOKUP(C65,Sheet2!A:C,3,0)</f>
        <v>Silver Dome Trading Est</v>
      </c>
    </row>
    <row r="66" spans="1:4" x14ac:dyDescent="0.3">
      <c r="A66" s="3">
        <v>1000089</v>
      </c>
      <c r="B66" s="3" t="s">
        <v>4</v>
      </c>
      <c r="C66" s="5">
        <v>1000089</v>
      </c>
      <c r="D66" s="5" t="str">
        <f>VLOOKUP(C66,Sheet2!A:C,3,0)</f>
        <v>SHETA AL SAIF</v>
      </c>
    </row>
    <row r="67" spans="1:4" x14ac:dyDescent="0.3">
      <c r="A67" s="3">
        <v>1000598</v>
      </c>
      <c r="B67" s="3" t="s">
        <v>4</v>
      </c>
      <c r="C67" s="5">
        <v>1000089</v>
      </c>
      <c r="D67" s="5" t="str">
        <f>VLOOKUP(C67,Sheet2!A:C,3,0)</f>
        <v>SHETA AL SAIF</v>
      </c>
    </row>
    <row r="68" spans="1:4" x14ac:dyDescent="0.3">
      <c r="A68" s="3">
        <v>1000794</v>
      </c>
      <c r="B68" s="3" t="s">
        <v>4</v>
      </c>
      <c r="C68" s="5">
        <v>1000089</v>
      </c>
      <c r="D68" s="5" t="str">
        <f>VLOOKUP(C68,Sheet2!A:C,3,0)</f>
        <v>SHETA AL SAIF</v>
      </c>
    </row>
    <row r="69" spans="1:4" x14ac:dyDescent="0.3">
      <c r="A69" s="3">
        <v>1000801</v>
      </c>
      <c r="B69" s="3" t="s">
        <v>4</v>
      </c>
      <c r="C69" s="5">
        <v>1000089</v>
      </c>
      <c r="D69" s="5" t="str">
        <f>VLOOKUP(C69,Sheet2!A:C,3,0)</f>
        <v>SHETA AL SAIF</v>
      </c>
    </row>
    <row r="70" spans="1:4" x14ac:dyDescent="0.3">
      <c r="A70" s="3">
        <v>1000881</v>
      </c>
      <c r="B70" s="3" t="s">
        <v>4</v>
      </c>
      <c r="C70" s="5">
        <v>1000089</v>
      </c>
      <c r="D70" s="5" t="str">
        <f>VLOOKUP(C70,Sheet2!A:C,3,0)</f>
        <v>SHETA AL SAIF</v>
      </c>
    </row>
    <row r="71" spans="1:4" x14ac:dyDescent="0.3">
      <c r="A71" s="3">
        <v>1000911</v>
      </c>
      <c r="B71" s="3" t="s">
        <v>79</v>
      </c>
      <c r="C71" s="5">
        <v>1000089</v>
      </c>
      <c r="D71" s="5" t="str">
        <f>VLOOKUP(C71,Sheet2!A:C,3,0)</f>
        <v>SHETA AL SAIF</v>
      </c>
    </row>
    <row r="72" spans="1:4" x14ac:dyDescent="0.3">
      <c r="A72" s="3">
        <v>1000975</v>
      </c>
      <c r="B72" s="3" t="s">
        <v>103</v>
      </c>
      <c r="C72" s="5">
        <v>1000089</v>
      </c>
      <c r="D72" s="5" t="str">
        <f>VLOOKUP(C72,Sheet2!A:C,3,0)</f>
        <v>SHETA AL SAIF</v>
      </c>
    </row>
    <row r="73" spans="1:4" x14ac:dyDescent="0.3">
      <c r="A73" s="3">
        <v>1001011</v>
      </c>
      <c r="B73" s="3" t="s">
        <v>115</v>
      </c>
      <c r="C73" s="5">
        <v>1000089</v>
      </c>
      <c r="D73" s="5" t="str">
        <f>VLOOKUP(C73,Sheet2!A:C,3,0)</f>
        <v>SHETA AL SAIF</v>
      </c>
    </row>
    <row r="74" spans="1:4" x14ac:dyDescent="0.3">
      <c r="A74" s="3">
        <v>1000559</v>
      </c>
      <c r="B74" s="3" t="s">
        <v>17</v>
      </c>
      <c r="C74" s="5">
        <v>1000559</v>
      </c>
      <c r="D74" s="5" t="str">
        <f>VLOOKUP(C74,Sheet2!A:C,3,0)</f>
        <v>SAUDI TELECOM COMPANY</v>
      </c>
    </row>
    <row r="75" spans="1:4" x14ac:dyDescent="0.3">
      <c r="A75" s="3">
        <v>1000726</v>
      </c>
      <c r="B75" s="3" t="s">
        <v>33</v>
      </c>
      <c r="C75" s="5">
        <v>1000559</v>
      </c>
      <c r="D75" s="5" t="str">
        <f>VLOOKUP(C75,Sheet2!A:C,3,0)</f>
        <v>SAUDI TELECOM COMPANY</v>
      </c>
    </row>
    <row r="76" spans="1:4" x14ac:dyDescent="0.3">
      <c r="A76" s="3">
        <v>3000128</v>
      </c>
      <c r="B76" s="3" t="s">
        <v>225</v>
      </c>
      <c r="C76" s="5">
        <v>3000128</v>
      </c>
      <c r="D76" s="5" t="str">
        <f>VLOOKUP(C76,Sheet2!A:C,3,0)</f>
        <v>Saudi Aramco</v>
      </c>
    </row>
    <row r="77" spans="1:4" x14ac:dyDescent="0.3">
      <c r="A77" s="3">
        <v>1000712</v>
      </c>
      <c r="B77" s="3" t="s">
        <v>31</v>
      </c>
      <c r="C77" s="5">
        <v>1000712</v>
      </c>
      <c r="D77" s="5" t="str">
        <f>VLOOKUP(C77,Sheet2!A:C,3,0)</f>
        <v>Samsung Electronics SaudiArabia Ltd</v>
      </c>
    </row>
    <row r="78" spans="1:4" x14ac:dyDescent="0.3">
      <c r="A78" s="3">
        <v>1000947</v>
      </c>
      <c r="B78" s="3" t="s">
        <v>98</v>
      </c>
      <c r="C78" s="5">
        <v>1000947</v>
      </c>
      <c r="D78" s="5" t="str">
        <f>VLOOKUP(C78,Sheet2!A:C,3,0)</f>
        <v>Sama Warehouses for Logistics</v>
      </c>
    </row>
    <row r="79" spans="1:4" x14ac:dyDescent="0.3">
      <c r="A79" s="3">
        <v>3000438</v>
      </c>
      <c r="B79" s="3" t="s">
        <v>242</v>
      </c>
      <c r="C79" s="5">
        <v>3000438</v>
      </c>
      <c r="D79" s="5" t="str">
        <f>VLOOKUP(C79,Sheet2!A:C,3,0)</f>
        <v>Saleh &amp; Abdul Wahab Al Mousa</v>
      </c>
    </row>
    <row r="80" spans="1:4" x14ac:dyDescent="0.3">
      <c r="A80" s="3">
        <v>3000457</v>
      </c>
      <c r="B80" s="3" t="s">
        <v>248</v>
      </c>
      <c r="C80" s="5">
        <v>3000438</v>
      </c>
      <c r="D80" s="5" t="str">
        <f>VLOOKUP(C80,Sheet2!A:C,3,0)</f>
        <v>Saleh &amp; Abdul Wahab Al Mousa</v>
      </c>
    </row>
    <row r="81" spans="1:4" x14ac:dyDescent="0.3">
      <c r="A81" s="3">
        <v>3000459</v>
      </c>
      <c r="B81" s="3" t="s">
        <v>250</v>
      </c>
      <c r="C81" s="5">
        <v>3000438</v>
      </c>
      <c r="D81" s="5" t="str">
        <f>VLOOKUP(C81,Sheet2!A:C,3,0)</f>
        <v>Saleh &amp; Abdul Wahab Al Mousa</v>
      </c>
    </row>
    <row r="82" spans="1:4" x14ac:dyDescent="0.3">
      <c r="A82" s="3">
        <v>2000537</v>
      </c>
      <c r="B82" s="3" t="s">
        <v>153</v>
      </c>
      <c r="C82" s="5">
        <v>2000537</v>
      </c>
      <c r="D82" s="5" t="str">
        <f>VLOOKUP(C82,Sheet2!A:C,3,0)</f>
        <v>Saif Mansoor Al Harbi Est.</v>
      </c>
    </row>
    <row r="83" spans="1:4" x14ac:dyDescent="0.3">
      <c r="A83" s="3">
        <v>2000551</v>
      </c>
      <c r="B83" s="3" t="s">
        <v>153</v>
      </c>
      <c r="C83" s="5">
        <v>2000537</v>
      </c>
      <c r="D83" s="5" t="str">
        <f>VLOOKUP(C83,Sheet2!A:C,3,0)</f>
        <v>Saif Mansoor Al Harbi Est.</v>
      </c>
    </row>
    <row r="84" spans="1:4" x14ac:dyDescent="0.3">
      <c r="A84" s="3">
        <v>1000677</v>
      </c>
      <c r="B84" s="3" t="s">
        <v>28</v>
      </c>
      <c r="C84" s="5">
        <v>1000677</v>
      </c>
      <c r="D84" s="5" t="str">
        <f>VLOOKUP(C84,Sheet2!A:C,3,0)</f>
        <v>SADY AL MAJD TRADING</v>
      </c>
    </row>
    <row r="85" spans="1:4" x14ac:dyDescent="0.3">
      <c r="A85" s="3">
        <v>1000820</v>
      </c>
      <c r="B85" s="3" t="s">
        <v>52</v>
      </c>
      <c r="C85" s="5">
        <v>1000820</v>
      </c>
      <c r="D85" s="5" t="str">
        <f>VLOOKUP(C85,Sheet2!A:C,3,0)</f>
        <v>Sada Saif Trading Company</v>
      </c>
    </row>
    <row r="86" spans="1:4" x14ac:dyDescent="0.3">
      <c r="A86" s="3">
        <v>2000530</v>
      </c>
      <c r="B86" s="3" t="s">
        <v>147</v>
      </c>
      <c r="C86" s="5">
        <v>2000530</v>
      </c>
      <c r="D86" s="5" t="str">
        <f>VLOOKUP(C86,Sheet2!A:C,3,0)</f>
        <v>Sabah Home Appliances Company</v>
      </c>
    </row>
    <row r="87" spans="1:4" x14ac:dyDescent="0.3">
      <c r="A87" s="3">
        <v>1001000</v>
      </c>
      <c r="B87" s="3" t="s">
        <v>110</v>
      </c>
      <c r="C87" s="5">
        <v>1001000</v>
      </c>
      <c r="D87" s="5" t="str">
        <f>VLOOKUP(C87,Sheet2!A:C,3,0)</f>
        <v>Roh Al Tajrubah Company</v>
      </c>
    </row>
    <row r="88" spans="1:4" x14ac:dyDescent="0.3">
      <c r="A88" s="3">
        <v>1000884</v>
      </c>
      <c r="B88" s="3" t="s">
        <v>69</v>
      </c>
      <c r="C88" s="5">
        <v>1000884</v>
      </c>
      <c r="D88" s="5" t="str">
        <f>VLOOKUP(C88,Sheet2!A:C,3,0)</f>
        <v>Riyadh International Food Company</v>
      </c>
    </row>
    <row r="89" spans="1:4" x14ac:dyDescent="0.3">
      <c r="A89" s="3">
        <v>1000464</v>
      </c>
      <c r="B89" s="3" t="s">
        <v>13</v>
      </c>
      <c r="C89" s="5">
        <v>1000464</v>
      </c>
      <c r="D89" s="5" t="str">
        <f>VLOOKUP(C89,Sheet2!A:C,3,0)</f>
        <v>Rising Stars Trading Co.</v>
      </c>
    </row>
    <row r="90" spans="1:4" x14ac:dyDescent="0.3">
      <c r="A90" s="3">
        <v>1000840</v>
      </c>
      <c r="B90" s="3" t="s">
        <v>57</v>
      </c>
      <c r="C90" s="5">
        <v>1000840</v>
      </c>
      <c r="D90" s="5" t="str">
        <f>VLOOKUP(C90,Sheet2!A:C,3,0)</f>
        <v>Rahi Corporation for Communications</v>
      </c>
    </row>
    <row r="91" spans="1:4" x14ac:dyDescent="0.3">
      <c r="A91" s="3">
        <v>2000766</v>
      </c>
      <c r="B91" s="3" t="s">
        <v>217</v>
      </c>
      <c r="C91" s="5">
        <v>2000766</v>
      </c>
      <c r="D91" s="5" t="str">
        <f>VLOOKUP(C91,Sheet2!A:C,3,0)</f>
        <v>Raed Discounts Trading Company one</v>
      </c>
    </row>
    <row r="92" spans="1:4" x14ac:dyDescent="0.3">
      <c r="A92" s="3">
        <v>1000720</v>
      </c>
      <c r="B92" s="3" t="s">
        <v>32</v>
      </c>
      <c r="C92" s="5">
        <v>1000720</v>
      </c>
      <c r="D92" s="5" t="str">
        <f>VLOOKUP(C92,Sheet2!A:C,3,0)</f>
        <v>QOMRA PRO. COMPANY</v>
      </c>
    </row>
    <row r="93" spans="1:4" x14ac:dyDescent="0.3">
      <c r="A93" s="3">
        <v>2000538</v>
      </c>
      <c r="B93" s="3" t="s">
        <v>154</v>
      </c>
      <c r="C93" s="5">
        <v>2000538</v>
      </c>
      <c r="D93" s="5" t="str">
        <f>VLOOKUP(C93,Sheet2!A:C,3,0)</f>
        <v>Qimmat Maysan Home Appliances</v>
      </c>
    </row>
    <row r="94" spans="1:4" x14ac:dyDescent="0.3">
      <c r="A94" s="3">
        <v>2000548</v>
      </c>
      <c r="B94" s="3" t="s">
        <v>154</v>
      </c>
      <c r="C94" s="5">
        <v>2000538</v>
      </c>
      <c r="D94" s="5" t="str">
        <f>VLOOKUP(C94,Sheet2!A:C,3,0)</f>
        <v>Qimmat Maysan Home Appliances</v>
      </c>
    </row>
    <row r="95" spans="1:4" x14ac:dyDescent="0.3">
      <c r="A95" s="3">
        <v>1000920</v>
      </c>
      <c r="B95" s="3" t="s">
        <v>86</v>
      </c>
      <c r="C95" s="5">
        <v>1000920</v>
      </c>
      <c r="D95" s="5" t="str">
        <f>VLOOKUP(C95,Sheet2!A:C,3,0)</f>
        <v>Qasr Al Awani Company closed Saudi</v>
      </c>
    </row>
    <row r="96" spans="1:4" x14ac:dyDescent="0.3">
      <c r="A96" s="3">
        <v>1000922</v>
      </c>
      <c r="B96" s="3" t="s">
        <v>86</v>
      </c>
      <c r="C96" s="5">
        <v>1000920</v>
      </c>
      <c r="D96" s="5" t="str">
        <f>VLOOKUP(C96,Sheet2!A:C,3,0)</f>
        <v>Qasr Al Awani Company closed Saudi</v>
      </c>
    </row>
    <row r="97" spans="1:4" x14ac:dyDescent="0.3">
      <c r="A97" s="3">
        <v>1000999</v>
      </c>
      <c r="B97" s="3" t="s">
        <v>86</v>
      </c>
      <c r="C97" s="5">
        <v>1000920</v>
      </c>
      <c r="D97" s="5" t="str">
        <f>VLOOKUP(C97,Sheet2!A:C,3,0)</f>
        <v>Qasr Al Awani Company closed Saudi</v>
      </c>
    </row>
    <row r="98" spans="1:4" x14ac:dyDescent="0.3">
      <c r="A98" s="3">
        <v>2000581</v>
      </c>
      <c r="B98" s="3" t="s">
        <v>169</v>
      </c>
      <c r="C98" s="5">
        <v>2000581</v>
      </c>
      <c r="D98" s="5" t="str">
        <f>VLOOKUP(C98,Sheet2!A:C,3,0)</f>
        <v>PIXEL CO LTD</v>
      </c>
    </row>
    <row r="99" spans="1:4" x14ac:dyDescent="0.3">
      <c r="A99" s="3">
        <v>7000021</v>
      </c>
      <c r="B99" s="3" t="s">
        <v>286</v>
      </c>
      <c r="C99" s="5">
        <v>7000021</v>
      </c>
      <c r="D99" s="5" t="str">
        <f>VLOOKUP(C99,Sheet2!A:C,3,0)</f>
        <v>Panasonic Marketing Middle East</v>
      </c>
    </row>
    <row r="100" spans="1:4" x14ac:dyDescent="0.3">
      <c r="A100" s="3">
        <v>2000624</v>
      </c>
      <c r="B100" s="3" t="s">
        <v>186</v>
      </c>
      <c r="C100" s="5">
        <v>2000624</v>
      </c>
      <c r="D100" s="5" t="str">
        <f>VLOOKUP(C100,Sheet2!A:C,3,0)</f>
        <v>Osmantec Trading Company</v>
      </c>
    </row>
    <row r="101" spans="1:4" x14ac:dyDescent="0.3">
      <c r="A101" s="3">
        <v>2000648</v>
      </c>
      <c r="B101" s="3" t="s">
        <v>186</v>
      </c>
      <c r="C101" s="5">
        <v>2000624</v>
      </c>
      <c r="D101" s="5" t="str">
        <f>VLOOKUP(C101,Sheet2!A:C,3,0)</f>
        <v>Osmantec Trading Company</v>
      </c>
    </row>
    <row r="102" spans="1:4" x14ac:dyDescent="0.3">
      <c r="A102" s="3">
        <v>1000786</v>
      </c>
      <c r="B102" s="3" t="s">
        <v>363</v>
      </c>
      <c r="C102" s="5">
        <v>1000786</v>
      </c>
      <c r="D102" s="5" t="str">
        <f>VLOOKUP(C102,Sheet2!A:C,3,0)</f>
        <v>ONE TIME CUSTOMER-PANA</v>
      </c>
    </row>
    <row r="103" spans="1:4" x14ac:dyDescent="0.3">
      <c r="A103" s="3">
        <v>1000863</v>
      </c>
      <c r="B103" s="3" t="s">
        <v>61</v>
      </c>
      <c r="C103" s="5">
        <v>1000863</v>
      </c>
      <c r="D103" s="5" t="str">
        <f>VLOOKUP(C103,Sheet2!A:C,3,0)</f>
        <v>One Time Customer-HAP</v>
      </c>
    </row>
    <row r="104" spans="1:4" x14ac:dyDescent="0.3">
      <c r="A104" s="3">
        <v>1000865</v>
      </c>
      <c r="B104" s="3" t="s">
        <v>62</v>
      </c>
      <c r="C104" s="5">
        <v>1000865</v>
      </c>
      <c r="D104" s="5" t="str">
        <f>VLOOKUP(C104,Sheet2!A:C,3,0)</f>
        <v>Oasis Air Conditioning Trading Comp</v>
      </c>
    </row>
    <row r="105" spans="1:4" x14ac:dyDescent="0.3">
      <c r="A105" s="3">
        <v>1000918</v>
      </c>
      <c r="B105" s="3" t="s">
        <v>84</v>
      </c>
      <c r="C105" s="5">
        <v>1000865</v>
      </c>
      <c r="D105" s="5" t="str">
        <f>VLOOKUP(C105,Sheet2!A:C,3,0)</f>
        <v>Oasis Air Conditioning Trading Comp</v>
      </c>
    </row>
    <row r="106" spans="1:4" x14ac:dyDescent="0.3">
      <c r="A106" s="3">
        <v>1000639</v>
      </c>
      <c r="B106" s="3" t="s">
        <v>26</v>
      </c>
      <c r="C106" s="5">
        <v>1000639</v>
      </c>
      <c r="D106" s="5" t="str">
        <f>VLOOKUP(C106,Sheet2!A:C,3,0)</f>
        <v>Noon Solution E-Commerce co</v>
      </c>
    </row>
    <row r="107" spans="1:4" x14ac:dyDescent="0.3">
      <c r="A107" s="3">
        <v>1000699</v>
      </c>
      <c r="B107" s="3" t="s">
        <v>26</v>
      </c>
      <c r="C107" s="5">
        <v>1000639</v>
      </c>
      <c r="D107" s="5" t="str">
        <f>VLOOKUP(C107,Sheet2!A:C,3,0)</f>
        <v>Noon Solution E-Commerce co</v>
      </c>
    </row>
    <row r="108" spans="1:4" x14ac:dyDescent="0.3">
      <c r="A108" s="3">
        <v>1000902</v>
      </c>
      <c r="B108" s="3" t="s">
        <v>26</v>
      </c>
      <c r="C108" s="5">
        <v>1000639</v>
      </c>
      <c r="D108" s="5" t="str">
        <f>VLOOKUP(C108,Sheet2!A:C,3,0)</f>
        <v>Noon Solution E-Commerce co</v>
      </c>
    </row>
    <row r="109" spans="1:4" x14ac:dyDescent="0.3">
      <c r="A109" s="3">
        <v>1000916</v>
      </c>
      <c r="B109" s="3" t="s">
        <v>82</v>
      </c>
      <c r="C109" s="5">
        <v>1000639</v>
      </c>
      <c r="D109" s="5" t="str">
        <f>VLOOKUP(C109,Sheet2!A:C,3,0)</f>
        <v>Noon Solution E-Commerce co</v>
      </c>
    </row>
    <row r="110" spans="1:4" x14ac:dyDescent="0.3">
      <c r="A110" s="3">
        <v>1000787</v>
      </c>
      <c r="B110" s="3" t="s">
        <v>37</v>
      </c>
      <c r="C110" s="5">
        <v>1000787</v>
      </c>
      <c r="D110" s="5" t="str">
        <f>VLOOKUP(C110,Sheet2!A:C,3,0)</f>
        <v>Nojoom International Trading Est.</v>
      </c>
    </row>
    <row r="111" spans="1:4" x14ac:dyDescent="0.3">
      <c r="A111" s="3">
        <v>1000835</v>
      </c>
      <c r="B111" s="3" t="s">
        <v>54</v>
      </c>
      <c r="C111" s="5">
        <v>1000787</v>
      </c>
      <c r="D111" s="5" t="str">
        <f>VLOOKUP(C111,Sheet2!A:C,3,0)</f>
        <v>Nojoom International Trading Est.</v>
      </c>
    </row>
    <row r="112" spans="1:4" x14ac:dyDescent="0.3">
      <c r="A112" s="3">
        <v>7000016</v>
      </c>
      <c r="B112" s="3" t="s">
        <v>285</v>
      </c>
      <c r="C112" s="5">
        <v>7000016</v>
      </c>
      <c r="D112" s="5" t="str">
        <f>VLOOKUP(C112,Sheet2!A:C,3,0)</f>
        <v>Nexstgo Company Limited</v>
      </c>
    </row>
    <row r="113" spans="1:4" x14ac:dyDescent="0.3">
      <c r="A113" s="3">
        <v>2000768</v>
      </c>
      <c r="B113" s="3" t="s">
        <v>218</v>
      </c>
      <c r="C113" s="5">
        <v>2000768</v>
      </c>
      <c r="D113" s="5" t="str">
        <f>VLOOKUP(C113,Sheet2!A:C,3,0)</f>
        <v>Nestle Saudi Arabia LLC</v>
      </c>
    </row>
    <row r="114" spans="1:4" x14ac:dyDescent="0.3">
      <c r="A114" s="3">
        <v>1000633</v>
      </c>
      <c r="B114" s="3" t="s">
        <v>25</v>
      </c>
      <c r="C114" s="5">
        <v>1000633</v>
      </c>
      <c r="D114" s="5" t="str">
        <f>VLOOKUP(C114,Sheet2!A:C,3,0)</f>
        <v>Needs Electronics Company</v>
      </c>
    </row>
    <row r="115" spans="1:4" x14ac:dyDescent="0.3">
      <c r="A115" s="3">
        <v>1000841</v>
      </c>
      <c r="B115" s="3" t="s">
        <v>58</v>
      </c>
      <c r="C115" s="5">
        <v>1000841</v>
      </c>
      <c r="D115" s="5" t="str">
        <f>VLOOKUP(C115,Sheet2!A:C,3,0)</f>
        <v>NAV Trading Company</v>
      </c>
    </row>
    <row r="116" spans="1:4" x14ac:dyDescent="0.3">
      <c r="A116" s="3">
        <v>3000463</v>
      </c>
      <c r="B116" s="3" t="s">
        <v>251</v>
      </c>
      <c r="C116" s="5">
        <v>3000463</v>
      </c>
      <c r="D116" s="5" t="str">
        <f>VLOOKUP(C116,Sheet2!A:C,3,0)</f>
        <v>Nasser Al Moubayed Sons Trading Com</v>
      </c>
    </row>
    <row r="117" spans="1:4" x14ac:dyDescent="0.3">
      <c r="A117" s="3">
        <v>3000515</v>
      </c>
      <c r="B117" s="3" t="s">
        <v>251</v>
      </c>
      <c r="C117" s="5">
        <v>3000463</v>
      </c>
      <c r="D117" s="5" t="str">
        <f>VLOOKUP(C117,Sheet2!A:C,3,0)</f>
        <v>Nasser Al Moubayed Sons Trading Com</v>
      </c>
    </row>
    <row r="118" spans="1:4" x14ac:dyDescent="0.3">
      <c r="A118" s="3">
        <v>1000762</v>
      </c>
      <c r="B118" s="3" t="s">
        <v>34</v>
      </c>
      <c r="C118" s="5">
        <v>1000762</v>
      </c>
      <c r="D118" s="5" t="str">
        <f>VLOOKUP(C118,Sheet2!A:C,3,0)</f>
        <v>Naser Saif Al Sahimi Al Qahtani</v>
      </c>
    </row>
    <row r="119" spans="1:4" x14ac:dyDescent="0.3">
      <c r="A119" s="3">
        <v>3000141</v>
      </c>
      <c r="B119" s="3" t="s">
        <v>226</v>
      </c>
      <c r="C119" s="5">
        <v>3000141</v>
      </c>
      <c r="D119" s="5" t="str">
        <f>VLOOKUP(C119,Sheet2!A:C,3,0)</f>
        <v>NASER MOHAMMED AL-BUQMI EST.</v>
      </c>
    </row>
    <row r="120" spans="1:4" x14ac:dyDescent="0.3">
      <c r="A120" s="3">
        <v>1000950</v>
      </c>
      <c r="B120" s="3" t="s">
        <v>100</v>
      </c>
      <c r="C120" s="5">
        <v>1000950</v>
      </c>
      <c r="D120" s="5" t="str">
        <f>VLOOKUP(C120,Sheet2!A:C,3,0)</f>
        <v>Najem Alagheza trading company one</v>
      </c>
    </row>
    <row r="121" spans="1:4" x14ac:dyDescent="0.3">
      <c r="A121" s="3">
        <v>1000996</v>
      </c>
      <c r="B121" s="3" t="s">
        <v>109</v>
      </c>
      <c r="C121" s="5">
        <v>1000950</v>
      </c>
      <c r="D121" s="5" t="str">
        <f>VLOOKUP(C121,Sheet2!A:C,3,0)</f>
        <v>Najem Alagheza trading company one</v>
      </c>
    </row>
    <row r="122" spans="1:4" x14ac:dyDescent="0.3">
      <c r="A122" s="3">
        <v>1000941</v>
      </c>
      <c r="B122" s="3" t="s">
        <v>93</v>
      </c>
      <c r="C122" s="5">
        <v>1000941</v>
      </c>
      <c r="D122" s="5" t="str">
        <f>VLOOKUP(C122,Sheet2!A:C,3,0)</f>
        <v>Nadi Alqabdah Alrukmiyya Sports Company</v>
      </c>
    </row>
    <row r="123" spans="1:4" x14ac:dyDescent="0.3">
      <c r="A123" s="3">
        <v>2000536</v>
      </c>
      <c r="B123" s="3" t="s">
        <v>152</v>
      </c>
      <c r="C123" s="5">
        <v>2000536</v>
      </c>
      <c r="D123" s="5" t="str">
        <f>VLOOKUP(C123,Sheet2!A:C,3,0)</f>
        <v>Naabi Trading Company</v>
      </c>
    </row>
    <row r="124" spans="1:4" x14ac:dyDescent="0.3">
      <c r="A124" s="3">
        <v>2000549</v>
      </c>
      <c r="B124" s="3" t="s">
        <v>152</v>
      </c>
      <c r="C124" s="5">
        <v>2000536</v>
      </c>
      <c r="D124" s="5" t="str">
        <f>VLOOKUP(C124,Sheet2!A:C,3,0)</f>
        <v>Naabi Trading Company</v>
      </c>
    </row>
    <row r="125" spans="1:4" x14ac:dyDescent="0.3">
      <c r="A125" s="3">
        <v>2000592</v>
      </c>
      <c r="B125" s="3" t="s">
        <v>171</v>
      </c>
      <c r="C125" s="5">
        <v>2000562</v>
      </c>
      <c r="D125" s="5" t="str">
        <f>VLOOKUP(C125,Sheet2!A:C,3,0)</f>
        <v>Muthalath Al Ruwad Home</v>
      </c>
    </row>
    <row r="126" spans="1:4" x14ac:dyDescent="0.3">
      <c r="A126" s="3">
        <v>2000700</v>
      </c>
      <c r="B126" s="3" t="s">
        <v>205</v>
      </c>
      <c r="C126" s="5">
        <v>2000562</v>
      </c>
      <c r="D126" s="5" t="str">
        <f>VLOOKUP(C126,Sheet2!A:C,3,0)</f>
        <v>Muthalath Al Ruwad Home</v>
      </c>
    </row>
    <row r="127" spans="1:4" x14ac:dyDescent="0.3">
      <c r="A127" s="3">
        <v>1000877</v>
      </c>
      <c r="B127" s="3" t="s">
        <v>67</v>
      </c>
      <c r="C127" s="5">
        <v>1000877</v>
      </c>
      <c r="D127" s="5" t="str">
        <f>VLOOKUP(C127,Sheet2!A:C,3,0)</f>
        <v>Mumzworld Arabia Co for Business se</v>
      </c>
    </row>
    <row r="128" spans="1:4" x14ac:dyDescent="0.3">
      <c r="A128" s="3">
        <v>1000971</v>
      </c>
      <c r="B128" s="3" t="s">
        <v>102</v>
      </c>
      <c r="C128" s="5">
        <v>1000877</v>
      </c>
      <c r="D128" s="5" t="str">
        <f>VLOOKUP(C128,Sheet2!A:C,3,0)</f>
        <v>Mumzworld Arabia Co for Business se</v>
      </c>
    </row>
    <row r="129" spans="1:4" x14ac:dyDescent="0.3">
      <c r="A129" s="3">
        <v>1000972</v>
      </c>
      <c r="B129" s="3" t="s">
        <v>102</v>
      </c>
      <c r="C129" s="5">
        <v>1000877</v>
      </c>
      <c r="D129" s="5" t="str">
        <f>VLOOKUP(C129,Sheet2!A:C,3,0)</f>
        <v>Mumzworld Arabia Co for Business se</v>
      </c>
    </row>
    <row r="130" spans="1:4" x14ac:dyDescent="0.3">
      <c r="A130" s="3">
        <v>1001005</v>
      </c>
      <c r="B130" s="3" t="s">
        <v>102</v>
      </c>
      <c r="C130" s="5">
        <v>1000877</v>
      </c>
      <c r="D130" s="5" t="str">
        <f>VLOOKUP(C130,Sheet2!A:C,3,0)</f>
        <v>Mumzworld Arabia Co for Business se</v>
      </c>
    </row>
    <row r="131" spans="1:4" x14ac:dyDescent="0.3">
      <c r="A131" s="3">
        <v>2000596</v>
      </c>
      <c r="B131" s="3" t="s">
        <v>173</v>
      </c>
      <c r="C131" s="5">
        <v>2000596</v>
      </c>
      <c r="D131" s="5" t="str">
        <f>VLOOKUP(C131,Sheet2!A:C,3,0)</f>
        <v>Muhammad Omar Saeed Bafeel Trading</v>
      </c>
    </row>
    <row r="132" spans="1:4" x14ac:dyDescent="0.3">
      <c r="A132" s="3">
        <v>2000736</v>
      </c>
      <c r="B132" s="3" t="s">
        <v>210</v>
      </c>
      <c r="C132" s="5">
        <v>2000596</v>
      </c>
      <c r="D132" s="5" t="str">
        <f>VLOOKUP(C132,Sheet2!A:C,3,0)</f>
        <v>Muhammad Omar Saeed Bafeel Trading</v>
      </c>
    </row>
    <row r="133" spans="1:4" x14ac:dyDescent="0.3">
      <c r="A133" s="3">
        <v>2000525</v>
      </c>
      <c r="B133" s="3" t="s">
        <v>145</v>
      </c>
      <c r="C133" s="5">
        <v>2000525</v>
      </c>
      <c r="D133" s="5" t="str">
        <f>VLOOKUP(C133,Sheet2!A:C,3,0)</f>
        <v>Muhammad Misfer Hussein Al Musleh</v>
      </c>
    </row>
    <row r="134" spans="1:4" x14ac:dyDescent="0.3">
      <c r="A134" s="3">
        <v>2000600</v>
      </c>
      <c r="B134" s="3" t="s">
        <v>145</v>
      </c>
      <c r="C134" s="5">
        <v>2000525</v>
      </c>
      <c r="D134" s="5" t="str">
        <f>VLOOKUP(C134,Sheet2!A:C,3,0)</f>
        <v>Muhammad Misfer Hussein Al Musleh</v>
      </c>
    </row>
    <row r="135" spans="1:4" x14ac:dyDescent="0.3">
      <c r="A135" s="3">
        <v>2000642</v>
      </c>
      <c r="B135" s="3" t="s">
        <v>195</v>
      </c>
      <c r="C135" s="5">
        <v>2000525</v>
      </c>
      <c r="D135" s="5" t="str">
        <f>VLOOKUP(C135,Sheet2!A:C,3,0)</f>
        <v>Muhammad Misfer Hussein Al Musleh</v>
      </c>
    </row>
    <row r="136" spans="1:4" x14ac:dyDescent="0.3">
      <c r="A136" s="3">
        <v>3000079</v>
      </c>
      <c r="B136" s="3" t="s">
        <v>220</v>
      </c>
      <c r="C136" s="5">
        <v>3000079</v>
      </c>
      <c r="D136" s="5" t="str">
        <f>VLOOKUP(C136,Sheet2!A:C,3,0)</f>
        <v>Muhammad Jawad Saleh Muhammad</v>
      </c>
    </row>
    <row r="137" spans="1:4" x14ac:dyDescent="0.3">
      <c r="A137" s="3">
        <v>3000467</v>
      </c>
      <c r="B137" s="3" t="s">
        <v>220</v>
      </c>
      <c r="C137" s="5">
        <v>3000079</v>
      </c>
      <c r="D137" s="5" t="str">
        <f>VLOOKUP(C137,Sheet2!A:C,3,0)</f>
        <v>Muhammad Jawad Saleh Muhammad</v>
      </c>
    </row>
    <row r="138" spans="1:4" x14ac:dyDescent="0.3">
      <c r="A138" s="3">
        <v>3000468</v>
      </c>
      <c r="B138" s="3" t="s">
        <v>253</v>
      </c>
      <c r="C138" s="5">
        <v>3000079</v>
      </c>
      <c r="D138" s="5" t="str">
        <f>VLOOKUP(C138,Sheet2!A:C,3,0)</f>
        <v>Muhammad Jawad Saleh Muhammad</v>
      </c>
    </row>
    <row r="139" spans="1:4" x14ac:dyDescent="0.3">
      <c r="A139" s="3">
        <v>3000505</v>
      </c>
      <c r="B139" s="3" t="s">
        <v>253</v>
      </c>
      <c r="C139" s="5">
        <v>3000079</v>
      </c>
      <c r="D139" s="5" t="str">
        <f>VLOOKUP(C139,Sheet2!A:C,3,0)</f>
        <v>Muhammad Jawad Saleh Muhammad</v>
      </c>
    </row>
    <row r="140" spans="1:4" x14ac:dyDescent="0.3">
      <c r="A140" s="3">
        <v>3000513</v>
      </c>
      <c r="B140" s="3" t="s">
        <v>253</v>
      </c>
      <c r="C140" s="5">
        <v>3000079</v>
      </c>
      <c r="D140" s="5" t="str">
        <f>VLOOKUP(C140,Sheet2!A:C,3,0)</f>
        <v>Muhammad Jawad Saleh Muhammad</v>
      </c>
    </row>
    <row r="141" spans="1:4" x14ac:dyDescent="0.3">
      <c r="A141" s="3">
        <v>2000647</v>
      </c>
      <c r="B141" s="3" t="s">
        <v>197</v>
      </c>
      <c r="C141" s="5">
        <v>2000647</v>
      </c>
      <c r="D141" s="5" t="str">
        <f>VLOOKUP(C141,Sheet2!A:C,3,0)</f>
        <v>Muhammad Ibrahim Abdullah Falqi Tra</v>
      </c>
    </row>
    <row r="142" spans="1:4" x14ac:dyDescent="0.3">
      <c r="A142" s="3">
        <v>2000725</v>
      </c>
      <c r="B142" s="3" t="s">
        <v>197</v>
      </c>
      <c r="C142" s="5">
        <v>2000647</v>
      </c>
      <c r="D142" s="5" t="str">
        <f>VLOOKUP(C142,Sheet2!A:C,3,0)</f>
        <v>Muhammad Ibrahim Abdullah Falqi Tra</v>
      </c>
    </row>
    <row r="143" spans="1:4" x14ac:dyDescent="0.3">
      <c r="A143" s="3">
        <v>2000726</v>
      </c>
      <c r="B143" s="3" t="s">
        <v>197</v>
      </c>
      <c r="C143" s="5">
        <v>2000647</v>
      </c>
      <c r="D143" s="5" t="str">
        <f>VLOOKUP(C143,Sheet2!A:C,3,0)</f>
        <v>Muhammad Ibrahim Abdullah Falqi Tra</v>
      </c>
    </row>
    <row r="144" spans="1:4" x14ac:dyDescent="0.3">
      <c r="A144" s="3">
        <v>2000564</v>
      </c>
      <c r="B144" s="3" t="s">
        <v>163</v>
      </c>
      <c r="C144" s="5">
        <v>2000564</v>
      </c>
      <c r="D144" s="5" t="str">
        <f>VLOOKUP(C144,Sheet2!A:C,3,0)</f>
        <v>Muhammad Fayez Ali Al Shehri Tradin</v>
      </c>
    </row>
    <row r="145" spans="1:4" x14ac:dyDescent="0.3">
      <c r="A145" s="3">
        <v>2000603</v>
      </c>
      <c r="B145" s="3" t="s">
        <v>163</v>
      </c>
      <c r="C145" s="5">
        <v>2000564</v>
      </c>
      <c r="D145" s="5" t="str">
        <f>VLOOKUP(C145,Sheet2!A:C,3,0)</f>
        <v>Muhammad Fayez Ali Al Shehri Tradin</v>
      </c>
    </row>
    <row r="146" spans="1:4" x14ac:dyDescent="0.3">
      <c r="A146" s="3">
        <v>2000730</v>
      </c>
      <c r="B146" s="3" t="s">
        <v>209</v>
      </c>
      <c r="C146" s="5">
        <v>2000564</v>
      </c>
      <c r="D146" s="5" t="str">
        <f>VLOOKUP(C146,Sheet2!A:C,3,0)</f>
        <v>Muhammad Fayez Ali Al Shehri Tradin</v>
      </c>
    </row>
    <row r="147" spans="1:4" x14ac:dyDescent="0.3">
      <c r="A147" s="3">
        <v>2000731</v>
      </c>
      <c r="B147" s="3" t="s">
        <v>209</v>
      </c>
      <c r="C147" s="5">
        <v>2000564</v>
      </c>
      <c r="D147" s="5" t="str">
        <f>VLOOKUP(C147,Sheet2!A:C,3,0)</f>
        <v>Muhammad Fayez Ali Al Shehri Tradin</v>
      </c>
    </row>
    <row r="148" spans="1:4" x14ac:dyDescent="0.3">
      <c r="A148" s="3">
        <v>1000839</v>
      </c>
      <c r="B148" s="3" t="s">
        <v>56</v>
      </c>
      <c r="C148" s="5">
        <v>1000839</v>
      </c>
      <c r="D148" s="5" t="str">
        <f>VLOOKUP(C148,Sheet2!A:C,3,0)</f>
        <v>Mohammed Mishaan Abdulaziz</v>
      </c>
    </row>
    <row r="149" spans="1:4" x14ac:dyDescent="0.3">
      <c r="A149" s="3">
        <v>2000650</v>
      </c>
      <c r="B149" s="3" t="s">
        <v>198</v>
      </c>
      <c r="C149" s="5">
        <v>2000650</v>
      </c>
      <c r="D149" s="5" t="str">
        <f>VLOOKUP(C149,Sheet2!A:C,3,0)</f>
        <v>Mohammed Hassan Omar Al Amoudi Trad</v>
      </c>
    </row>
    <row r="150" spans="1:4" x14ac:dyDescent="0.3">
      <c r="A150" s="3">
        <v>2000684</v>
      </c>
      <c r="B150" s="3" t="s">
        <v>198</v>
      </c>
      <c r="C150" s="5">
        <v>2000650</v>
      </c>
      <c r="D150" s="5" t="str">
        <f>VLOOKUP(C150,Sheet2!A:C,3,0)</f>
        <v>Mohammed Hassan Omar Al Amoudi Trad</v>
      </c>
    </row>
    <row r="151" spans="1:4" x14ac:dyDescent="0.3">
      <c r="A151" s="3">
        <v>2000691</v>
      </c>
      <c r="B151" s="3" t="s">
        <v>198</v>
      </c>
      <c r="C151" s="5">
        <v>2000650</v>
      </c>
      <c r="D151" s="5" t="str">
        <f>VLOOKUP(C151,Sheet2!A:C,3,0)</f>
        <v>Mohammed Hassan Omar Al Amoudi Trad</v>
      </c>
    </row>
    <row r="152" spans="1:4" x14ac:dyDescent="0.3">
      <c r="A152" s="3">
        <v>2000760</v>
      </c>
      <c r="B152" s="3" t="s">
        <v>198</v>
      </c>
      <c r="C152" s="5">
        <v>2000650</v>
      </c>
      <c r="D152" s="5" t="str">
        <f>VLOOKUP(C152,Sheet2!A:C,3,0)</f>
        <v>Mohammed Hassan Omar Al Amoudi Trad</v>
      </c>
    </row>
    <row r="153" spans="1:4" x14ac:dyDescent="0.3">
      <c r="A153" s="3">
        <v>3000427</v>
      </c>
      <c r="B153" s="3" t="s">
        <v>236</v>
      </c>
      <c r="C153" s="5">
        <v>3000427</v>
      </c>
      <c r="D153" s="5" t="str">
        <f>VLOOKUP(C153,Sheet2!A:C,3,0)</f>
        <v>Mohammed Bin Eid Al Khater and Brot</v>
      </c>
    </row>
    <row r="154" spans="1:4" x14ac:dyDescent="0.3">
      <c r="A154" s="3">
        <v>3000470</v>
      </c>
      <c r="B154" s="3" t="s">
        <v>255</v>
      </c>
      <c r="C154" s="5">
        <v>3000427</v>
      </c>
      <c r="D154" s="5" t="str">
        <f>VLOOKUP(C154,Sheet2!A:C,3,0)</f>
        <v>Mohammed Bin Eid Al Khater and Brot</v>
      </c>
    </row>
    <row r="155" spans="1:4" x14ac:dyDescent="0.3">
      <c r="A155" s="3">
        <v>3000524</v>
      </c>
      <c r="B155" s="3" t="s">
        <v>255</v>
      </c>
      <c r="C155" s="5">
        <v>3000427</v>
      </c>
      <c r="D155" s="5" t="str">
        <f>VLOOKUP(C155,Sheet2!A:C,3,0)</f>
        <v>Mohammed Bin Eid Al Khater and Brot</v>
      </c>
    </row>
    <row r="156" spans="1:4" x14ac:dyDescent="0.3">
      <c r="A156" s="3">
        <v>3000441</v>
      </c>
      <c r="B156" s="3" t="s">
        <v>244</v>
      </c>
      <c r="C156" s="5">
        <v>3000441</v>
      </c>
      <c r="D156" s="5" t="str">
        <f>VLOOKUP(C156,Sheet2!A:C,3,0)</f>
        <v>Mohammed Bin Ali Bin Al Hamri</v>
      </c>
    </row>
    <row r="157" spans="1:4" x14ac:dyDescent="0.3">
      <c r="A157" s="3">
        <v>1000931</v>
      </c>
      <c r="B157" s="3" t="s">
        <v>89</v>
      </c>
      <c r="C157" s="5">
        <v>3000433</v>
      </c>
      <c r="D157" s="5" t="str">
        <f>VLOOKUP(C157,Sheet2!A:C,3,0)</f>
        <v>Mohamed Saleh Aldossary Co. Ltd</v>
      </c>
    </row>
    <row r="158" spans="1:4" x14ac:dyDescent="0.3">
      <c r="A158" s="3">
        <v>3000433</v>
      </c>
      <c r="B158" s="3" t="s">
        <v>89</v>
      </c>
      <c r="C158" s="5">
        <v>3000433</v>
      </c>
      <c r="D158" s="5" t="str">
        <f>VLOOKUP(C158,Sheet2!A:C,3,0)</f>
        <v>Mohamed Saleh Aldossary Co. Ltd</v>
      </c>
    </row>
    <row r="159" spans="1:4" x14ac:dyDescent="0.3">
      <c r="A159" s="3">
        <v>3000474</v>
      </c>
      <c r="B159" s="3" t="s">
        <v>89</v>
      </c>
      <c r="C159" s="5">
        <v>3000433</v>
      </c>
      <c r="D159" s="5" t="str">
        <f>VLOOKUP(C159,Sheet2!A:C,3,0)</f>
        <v>Mohamed Saleh Aldossary Co. Ltd</v>
      </c>
    </row>
    <row r="160" spans="1:4" x14ac:dyDescent="0.3">
      <c r="A160" s="3">
        <v>3000475</v>
      </c>
      <c r="B160" s="3" t="s">
        <v>89</v>
      </c>
      <c r="C160" s="5">
        <v>3000433</v>
      </c>
      <c r="D160" s="5" t="str">
        <f>VLOOKUP(C160,Sheet2!A:C,3,0)</f>
        <v>Mohamed Saleh Aldossary Co. Ltd</v>
      </c>
    </row>
    <row r="161" spans="1:4" x14ac:dyDescent="0.3">
      <c r="A161" s="3">
        <v>2000574</v>
      </c>
      <c r="B161" s="3" t="s">
        <v>166</v>
      </c>
      <c r="C161" s="5">
        <v>2000574</v>
      </c>
      <c r="D161" s="5" t="str">
        <f>VLOOKUP(C161,Sheet2!A:C,3,0)</f>
        <v>Modern Trading Center Company</v>
      </c>
    </row>
    <row r="162" spans="1:4" x14ac:dyDescent="0.3">
      <c r="A162" s="3">
        <v>2000575</v>
      </c>
      <c r="B162" s="3" t="s">
        <v>167</v>
      </c>
      <c r="C162" s="5">
        <v>2000574</v>
      </c>
      <c r="D162" s="5" t="str">
        <f>VLOOKUP(C162,Sheet2!A:C,3,0)</f>
        <v>Modern Trading Center Company</v>
      </c>
    </row>
    <row r="163" spans="1:4" x14ac:dyDescent="0.3">
      <c r="A163" s="3">
        <v>2000608</v>
      </c>
      <c r="B163" s="3" t="s">
        <v>166</v>
      </c>
      <c r="C163" s="5">
        <v>2000574</v>
      </c>
      <c r="D163" s="5" t="str">
        <f>VLOOKUP(C163,Sheet2!A:C,3,0)</f>
        <v>Modern Trading Center Company</v>
      </c>
    </row>
    <row r="164" spans="1:4" x14ac:dyDescent="0.3">
      <c r="A164" s="3">
        <v>2000505</v>
      </c>
      <c r="B164" s="3" t="s">
        <v>138</v>
      </c>
      <c r="C164" s="5">
        <v>2000505</v>
      </c>
      <c r="D164" s="5" t="str">
        <f>VLOOKUP(C164,Sheet2!A:C,3,0)</f>
        <v>Modern Nagham Trading Est.</v>
      </c>
    </row>
    <row r="165" spans="1:4" x14ac:dyDescent="0.3">
      <c r="A165" s="3">
        <v>1400002400</v>
      </c>
      <c r="B165" s="3" t="s">
        <v>297</v>
      </c>
      <c r="C165" s="5">
        <v>1400002400</v>
      </c>
      <c r="D165" s="5" t="str">
        <f>VLOOKUP(C165,Sheet2!A:C,3,0)</f>
        <v>Modern Media System</v>
      </c>
    </row>
    <row r="166" spans="1:4" x14ac:dyDescent="0.3">
      <c r="A166" s="3">
        <v>1000915</v>
      </c>
      <c r="B166" s="3" t="s">
        <v>81</v>
      </c>
      <c r="C166" s="5">
        <v>1000915</v>
      </c>
      <c r="D166" s="5" t="str">
        <f>VLOOKUP(C166,Sheet2!A:C,3,0)</f>
        <v>Modern House Trading Est</v>
      </c>
    </row>
    <row r="167" spans="1:4" x14ac:dyDescent="0.3">
      <c r="A167" s="3">
        <v>1000978</v>
      </c>
      <c r="B167" s="3" t="s">
        <v>81</v>
      </c>
      <c r="C167" s="5">
        <v>1000915</v>
      </c>
      <c r="D167" s="5" t="str">
        <f>VLOOKUP(C167,Sheet2!A:C,3,0)</f>
        <v>Modern House Trading Est</v>
      </c>
    </row>
    <row r="168" spans="1:4" x14ac:dyDescent="0.3">
      <c r="A168" s="3">
        <v>1000682</v>
      </c>
      <c r="B168" s="3" t="s">
        <v>29</v>
      </c>
      <c r="C168" s="5">
        <v>1000682</v>
      </c>
      <c r="D168" s="5" t="str">
        <f>VLOOKUP(C168,Sheet2!A:C,3,0)</f>
        <v>Mobile Telecommunications Company</v>
      </c>
    </row>
    <row r="169" spans="1:4" x14ac:dyDescent="0.3">
      <c r="A169" s="3">
        <v>3000307</v>
      </c>
      <c r="B169" s="3" t="s">
        <v>228</v>
      </c>
      <c r="C169" s="5">
        <v>3000307</v>
      </c>
      <c r="D169" s="5" t="str">
        <f>VLOOKUP(C169,Sheet2!A:C,3,0)</f>
        <v>Moasasa Qannas Al Majrah</v>
      </c>
    </row>
    <row r="170" spans="1:4" x14ac:dyDescent="0.3">
      <c r="A170" s="3">
        <v>3000431</v>
      </c>
      <c r="B170" s="3" t="s">
        <v>238</v>
      </c>
      <c r="C170" s="5">
        <v>3000431</v>
      </c>
      <c r="D170" s="5" t="str">
        <f>VLOOKUP(C170,Sheet2!A:C,3,0)</f>
        <v>Mirza Redha Al-Jashi General</v>
      </c>
    </row>
    <row r="171" spans="1:4" x14ac:dyDescent="0.3">
      <c r="A171" s="3">
        <v>3000446</v>
      </c>
      <c r="B171" s="3" t="s">
        <v>238</v>
      </c>
      <c r="C171" s="5">
        <v>3000431</v>
      </c>
      <c r="D171" s="5" t="str">
        <f>VLOOKUP(C171,Sheet2!A:C,3,0)</f>
        <v>Mirza Redha Al-Jashi General</v>
      </c>
    </row>
    <row r="172" spans="1:4" x14ac:dyDescent="0.3">
      <c r="A172" s="3">
        <v>3000478</v>
      </c>
      <c r="B172" s="3" t="s">
        <v>258</v>
      </c>
      <c r="C172" s="5">
        <v>3000431</v>
      </c>
      <c r="D172" s="5" t="str">
        <f>VLOOKUP(C172,Sheet2!A:C,3,0)</f>
        <v>Mirza Redha Al-Jashi General</v>
      </c>
    </row>
    <row r="173" spans="1:4" x14ac:dyDescent="0.3">
      <c r="A173" s="3" t="s">
        <v>326</v>
      </c>
      <c r="B173" s="3" t="s">
        <v>327</v>
      </c>
      <c r="C173" s="5" t="s">
        <v>326</v>
      </c>
      <c r="D173" s="5" t="str">
        <f>VLOOKUP(C173,Sheet2!A:C,3,0)</f>
        <v>Mestores.com</v>
      </c>
    </row>
    <row r="174" spans="1:4" x14ac:dyDescent="0.3">
      <c r="A174" s="3" t="s">
        <v>342</v>
      </c>
      <c r="B174" s="3" t="s">
        <v>343</v>
      </c>
      <c r="C174" s="5" t="s">
        <v>342</v>
      </c>
      <c r="D174" s="5" t="str">
        <f>VLOOKUP(C174,Sheet2!A:C,3,0)</f>
        <v>Mestores Online Store</v>
      </c>
    </row>
    <row r="175" spans="1:4" x14ac:dyDescent="0.3">
      <c r="A175" s="3">
        <v>1000889</v>
      </c>
      <c r="B175" s="3" t="s">
        <v>71</v>
      </c>
      <c r="C175" s="5">
        <v>1000889</v>
      </c>
      <c r="D175" s="5" t="str">
        <f>VLOOKUP(C175,Sheet2!A:C,3,0)</f>
        <v>Mehour Air Conditioning Co for Home</v>
      </c>
    </row>
    <row r="176" spans="1:4" x14ac:dyDescent="0.3">
      <c r="A176" s="3" t="s">
        <v>348</v>
      </c>
      <c r="B176" s="3" t="s">
        <v>349</v>
      </c>
      <c r="C176" s="5" t="s">
        <v>348</v>
      </c>
      <c r="D176" s="5" t="str">
        <f>VLOOKUP(C176,Sheet2!A:C,3,0)</f>
        <v>MECL-RYD-Warood Showroom</v>
      </c>
    </row>
    <row r="177" spans="1:4" x14ac:dyDescent="0.3">
      <c r="A177" s="3" t="s">
        <v>336</v>
      </c>
      <c r="B177" s="3" t="s">
        <v>337</v>
      </c>
      <c r="C177" s="5" t="s">
        <v>336</v>
      </c>
      <c r="D177" s="5" t="str">
        <f>VLOOKUP(C177,Sheet2!A:C,3,0)</f>
        <v>MECL-RYD-Granada Center Showroom</v>
      </c>
    </row>
    <row r="178" spans="1:4" x14ac:dyDescent="0.3">
      <c r="A178" s="3" t="s">
        <v>334</v>
      </c>
      <c r="B178" s="3" t="s">
        <v>335</v>
      </c>
      <c r="C178" s="5" t="s">
        <v>334</v>
      </c>
      <c r="D178" s="5" t="str">
        <f>VLOOKUP(C178,Sheet2!A:C,3,0)</f>
        <v>MECL-RYD-Dar Al Wakalat Showroom</v>
      </c>
    </row>
    <row r="179" spans="1:4" x14ac:dyDescent="0.3">
      <c r="A179" s="3" t="s">
        <v>360</v>
      </c>
      <c r="B179" s="3" t="s">
        <v>361</v>
      </c>
      <c r="C179" s="5" t="s">
        <v>360</v>
      </c>
      <c r="D179" s="5" t="str">
        <f>VLOOKUP(C179,Sheet2!A:C,3,0)</f>
        <v>MECL-RYD-Batha Showroom</v>
      </c>
    </row>
    <row r="180" spans="1:4" x14ac:dyDescent="0.3">
      <c r="A180" s="3" t="s">
        <v>358</v>
      </c>
      <c r="B180" s="3" t="s">
        <v>359</v>
      </c>
      <c r="C180" s="5" t="s">
        <v>358</v>
      </c>
      <c r="D180" s="5" t="str">
        <f>VLOOKUP(C180,Sheet2!A:C,3,0)</f>
        <v>MECL-KHB-RAKA Showroom</v>
      </c>
    </row>
    <row r="181" spans="1:4" x14ac:dyDescent="0.3">
      <c r="A181" s="3" t="s">
        <v>318</v>
      </c>
      <c r="B181" s="3" t="s">
        <v>319</v>
      </c>
      <c r="C181" s="5" t="s">
        <v>318</v>
      </c>
      <c r="D181" s="5" t="str">
        <f>VLOOKUP(C181,Sheet2!A:C,3,0)</f>
        <v>MECL-KHB-King Fahd Showroom</v>
      </c>
    </row>
    <row r="182" spans="1:4" x14ac:dyDescent="0.3">
      <c r="A182" s="3" t="s">
        <v>320</v>
      </c>
      <c r="B182" s="3" t="s">
        <v>321</v>
      </c>
      <c r="C182" s="5" t="s">
        <v>320</v>
      </c>
      <c r="D182" s="5" t="str">
        <f>VLOOKUP(C182,Sheet2!A:C,3,0)</f>
        <v>MECL-KHB-Dammam Showroom</v>
      </c>
    </row>
    <row r="183" spans="1:4" x14ac:dyDescent="0.3">
      <c r="A183" s="3" t="s">
        <v>356</v>
      </c>
      <c r="B183" s="3" t="s">
        <v>357</v>
      </c>
      <c r="C183" s="5" t="s">
        <v>356</v>
      </c>
      <c r="D183" s="5" t="str">
        <f>VLOOKUP(C183,Sheet2!A:C,3,0)</f>
        <v>MECL-KHB-Dammam 2 FAISALI</v>
      </c>
    </row>
    <row r="184" spans="1:4" x14ac:dyDescent="0.3">
      <c r="A184" s="3" t="s">
        <v>354</v>
      </c>
      <c r="B184" s="3" t="s">
        <v>355</v>
      </c>
      <c r="C184" s="5" t="s">
        <v>354</v>
      </c>
      <c r="D184" s="5" t="str">
        <f>VLOOKUP(C184,Sheet2!A:C,3,0)</f>
        <v>MECL-KHB-Al Hassa Showroo</v>
      </c>
    </row>
    <row r="185" spans="1:4" x14ac:dyDescent="0.3">
      <c r="A185" s="3" t="s">
        <v>352</v>
      </c>
      <c r="B185" s="3" t="s">
        <v>353</v>
      </c>
      <c r="C185" s="5" t="s">
        <v>352</v>
      </c>
      <c r="D185" s="5" t="str">
        <f>VLOOKUP(C185,Sheet2!A:C,3,0)</f>
        <v>MECL-JED-La Terra Mall Sh</v>
      </c>
    </row>
    <row r="186" spans="1:4" x14ac:dyDescent="0.3">
      <c r="A186" s="3" t="s">
        <v>314</v>
      </c>
      <c r="B186" s="3" t="s">
        <v>315</v>
      </c>
      <c r="C186" s="5" t="s">
        <v>314</v>
      </c>
      <c r="D186" s="5" t="str">
        <f>VLOOKUP(C186,Sheet2!A:C,3,0)</f>
        <v>MECL-JED-Khamis Mushayat Showroom</v>
      </c>
    </row>
    <row r="187" spans="1:4" x14ac:dyDescent="0.3">
      <c r="A187" s="3" t="s">
        <v>312</v>
      </c>
      <c r="B187" s="3" t="s">
        <v>313</v>
      </c>
      <c r="C187" s="5" t="s">
        <v>312</v>
      </c>
      <c r="D187" s="5" t="str">
        <f>VLOOKUP(C187,Sheet2!A:C,3,0)</f>
        <v>MECL-JED Tabuk Showroom</v>
      </c>
    </row>
    <row r="188" spans="1:4" x14ac:dyDescent="0.3">
      <c r="A188" s="3" t="s">
        <v>322</v>
      </c>
      <c r="B188" s="3" t="s">
        <v>323</v>
      </c>
      <c r="C188" s="5" t="s">
        <v>322</v>
      </c>
      <c r="D188" s="5" t="str">
        <f>VLOOKUP(C188,Sheet2!A:C,3,0)</f>
        <v>MECL-DAM-Aziziyah HA01</v>
      </c>
    </row>
    <row r="189" spans="1:4" x14ac:dyDescent="0.3">
      <c r="A189" s="3">
        <v>5000045</v>
      </c>
      <c r="B189" s="3" t="s">
        <v>279</v>
      </c>
      <c r="C189" s="5">
        <v>5000045</v>
      </c>
      <c r="D189" s="5" t="str">
        <f>VLOOKUP(C189,Sheet2!A:C,3,0)</f>
        <v>MECL-CR-RYD HA SVC</v>
      </c>
    </row>
    <row r="190" spans="1:4" x14ac:dyDescent="0.3">
      <c r="A190" s="3" t="s">
        <v>340</v>
      </c>
      <c r="B190" s="3" t="s">
        <v>341</v>
      </c>
      <c r="C190" s="5" t="s">
        <v>340</v>
      </c>
      <c r="D190" s="5" t="str">
        <f>VLOOKUP(C190,Sheet2!A:C,3,0)</f>
        <v>MECL Ecommerce</v>
      </c>
    </row>
    <row r="191" spans="1:4" x14ac:dyDescent="0.3">
      <c r="A191" s="3">
        <v>7000037</v>
      </c>
      <c r="B191" s="3" t="s">
        <v>293</v>
      </c>
      <c r="C191" s="5">
        <v>7000037</v>
      </c>
      <c r="D191" s="5" t="str">
        <f>VLOOKUP(C191,Sheet2!A:C,3,0)</f>
        <v>MEA Brands DMCC</v>
      </c>
    </row>
    <row r="192" spans="1:4" x14ac:dyDescent="0.3">
      <c r="A192" s="3">
        <v>5000040</v>
      </c>
      <c r="B192" s="3" t="s">
        <v>276</v>
      </c>
      <c r="C192" s="5">
        <v>5000040</v>
      </c>
      <c r="D192" s="5" t="str">
        <f>VLOOKUP(C192,Sheet2!A:C,3,0)</f>
        <v>MAQASHA Trading Est.</v>
      </c>
    </row>
    <row r="193" spans="1:4" x14ac:dyDescent="0.3">
      <c r="A193" s="3">
        <v>1000988</v>
      </c>
      <c r="B193" s="3" t="s">
        <v>107</v>
      </c>
      <c r="C193" s="5">
        <v>1000988</v>
      </c>
      <c r="D193" s="5" t="str">
        <f>VLOOKUP(C193,Sheet2!A:C,3,0)</f>
        <v>Manarat Ebla Company Ltd</v>
      </c>
    </row>
    <row r="194" spans="1:4" x14ac:dyDescent="0.3">
      <c r="A194" s="3">
        <v>2000627</v>
      </c>
      <c r="B194" s="3" t="s">
        <v>188</v>
      </c>
      <c r="C194" s="5">
        <v>2000627</v>
      </c>
      <c r="D194" s="5" t="str">
        <f>VLOOKUP(C194,Sheet2!A:C,3,0)</f>
        <v>Majed Golden Trading Company</v>
      </c>
    </row>
    <row r="195" spans="1:4" x14ac:dyDescent="0.3">
      <c r="A195" s="3">
        <v>7000031</v>
      </c>
      <c r="B195" s="3" t="s">
        <v>289</v>
      </c>
      <c r="C195" s="5">
        <v>7000031</v>
      </c>
      <c r="D195" s="5" t="str">
        <f>VLOOKUP(C195,Sheet2!A:C,3,0)</f>
        <v>M M R General Trading L.L.C</v>
      </c>
    </row>
    <row r="196" spans="1:4" x14ac:dyDescent="0.3">
      <c r="A196" s="3">
        <v>1000590</v>
      </c>
      <c r="B196" s="3" t="s">
        <v>21</v>
      </c>
      <c r="C196" s="5">
        <v>1000013</v>
      </c>
      <c r="D196" s="5" t="str">
        <f>VLOOKUP(C196,Sheet2!A:C,3,0)</f>
        <v>LULU</v>
      </c>
    </row>
    <row r="197" spans="1:4" x14ac:dyDescent="0.3">
      <c r="A197" s="3">
        <v>1000596</v>
      </c>
      <c r="B197" s="3" t="s">
        <v>22</v>
      </c>
      <c r="C197" s="5">
        <v>1000013</v>
      </c>
      <c r="D197" s="5" t="str">
        <f>VLOOKUP(C197,Sheet2!A:C,3,0)</f>
        <v>LULU</v>
      </c>
    </row>
    <row r="198" spans="1:4" x14ac:dyDescent="0.3">
      <c r="A198" s="3">
        <v>1000618</v>
      </c>
      <c r="B198" s="3" t="s">
        <v>23</v>
      </c>
      <c r="C198" s="5">
        <v>1000013</v>
      </c>
      <c r="D198" s="5" t="str">
        <f>VLOOKUP(C198,Sheet2!A:C,3,0)</f>
        <v>LULU</v>
      </c>
    </row>
    <row r="199" spans="1:4" x14ac:dyDescent="0.3">
      <c r="A199" s="3">
        <v>2000396</v>
      </c>
      <c r="B199" s="3" t="s">
        <v>132</v>
      </c>
      <c r="C199" s="5">
        <v>1000013</v>
      </c>
      <c r="D199" s="5" t="str">
        <f>VLOOKUP(C199,Sheet2!A:C,3,0)</f>
        <v>LULU</v>
      </c>
    </row>
    <row r="200" spans="1:4" x14ac:dyDescent="0.3">
      <c r="A200" s="3">
        <v>2000411</v>
      </c>
      <c r="B200" s="3" t="s">
        <v>133</v>
      </c>
      <c r="C200" s="5">
        <v>1000013</v>
      </c>
      <c r="D200" s="5" t="str">
        <f>VLOOKUP(C200,Sheet2!A:C,3,0)</f>
        <v>LULU</v>
      </c>
    </row>
    <row r="201" spans="1:4" x14ac:dyDescent="0.3">
      <c r="A201" s="3">
        <v>3000377</v>
      </c>
      <c r="B201" s="3" t="s">
        <v>232</v>
      </c>
      <c r="C201" s="5">
        <v>1000013</v>
      </c>
      <c r="D201" s="5" t="str">
        <f>VLOOKUP(C201,Sheet2!A:C,3,0)</f>
        <v>LULU</v>
      </c>
    </row>
    <row r="202" spans="1:4" x14ac:dyDescent="0.3">
      <c r="A202" s="3">
        <v>3000389</v>
      </c>
      <c r="B202" s="3" t="s">
        <v>233</v>
      </c>
      <c r="C202" s="5">
        <v>1000013</v>
      </c>
      <c r="D202" s="5" t="str">
        <f>VLOOKUP(C202,Sheet2!A:C,3,0)</f>
        <v>LULU</v>
      </c>
    </row>
    <row r="203" spans="1:4" x14ac:dyDescent="0.3">
      <c r="A203" s="3" t="s">
        <v>332</v>
      </c>
      <c r="B203" s="3" t="s">
        <v>333</v>
      </c>
      <c r="C203" s="5" t="s">
        <v>332</v>
      </c>
      <c r="D203" s="5" t="str">
        <f>VLOOKUP(C203,Sheet2!A:C,3,0)</f>
        <v>Level-UP </v>
      </c>
    </row>
    <row r="204" spans="1:4" x14ac:dyDescent="0.3">
      <c r="A204" s="3">
        <v>2000630</v>
      </c>
      <c r="B204" s="3" t="s">
        <v>190</v>
      </c>
      <c r="C204" s="5">
        <v>2000630</v>
      </c>
      <c r="D204" s="5" t="str">
        <f>VLOOKUP(C204,Sheet2!A:C,3,0)</f>
        <v>Laser Trading Est</v>
      </c>
    </row>
    <row r="205" spans="1:4" x14ac:dyDescent="0.3">
      <c r="A205" s="3">
        <v>2000719</v>
      </c>
      <c r="B205" s="3" t="s">
        <v>190</v>
      </c>
      <c r="C205" s="5">
        <v>2000630</v>
      </c>
      <c r="D205" s="5" t="str">
        <f>VLOOKUP(C205,Sheet2!A:C,3,0)</f>
        <v>Laser Trading Est</v>
      </c>
    </row>
    <row r="206" spans="1:4" x14ac:dyDescent="0.3">
      <c r="A206" s="3">
        <v>2000556</v>
      </c>
      <c r="B206" s="3" t="s">
        <v>159</v>
      </c>
      <c r="C206" s="5">
        <v>2000556</v>
      </c>
      <c r="D206" s="5" t="str">
        <f>VLOOKUP(C206,Sheet2!A:C,3,0)</f>
        <v>Lamsa al Hawa Al Asri Trading Co</v>
      </c>
    </row>
    <row r="207" spans="1:4" x14ac:dyDescent="0.3">
      <c r="A207" s="3">
        <v>2000561</v>
      </c>
      <c r="B207" s="3" t="s">
        <v>162</v>
      </c>
      <c r="C207" s="5">
        <v>2000556</v>
      </c>
      <c r="D207" s="5" t="str">
        <f>VLOOKUP(C207,Sheet2!A:C,3,0)</f>
        <v>Lamsa al Hawa Al Asri Trading Co</v>
      </c>
    </row>
    <row r="208" spans="1:4" x14ac:dyDescent="0.3">
      <c r="A208" s="3">
        <v>3000336</v>
      </c>
      <c r="B208" s="3" t="s">
        <v>230</v>
      </c>
      <c r="C208" s="5">
        <v>3000336</v>
      </c>
      <c r="D208" s="5" t="str">
        <f>VLOOKUP(C208,Sheet2!A:C,3,0)</f>
        <v>LAITH AL ARAB TRAD EST</v>
      </c>
    </row>
    <row r="209" spans="1:4" x14ac:dyDescent="0.3">
      <c r="A209" s="3">
        <v>1400005800</v>
      </c>
      <c r="B209" s="3" t="s">
        <v>300</v>
      </c>
      <c r="C209" s="5">
        <v>1400005800</v>
      </c>
      <c r="D209" s="5" t="str">
        <f>VLOOKUP(C209,Sheet2!A:C,3,0)</f>
        <v>La3eb Limited Company</v>
      </c>
    </row>
    <row r="210" spans="1:4" x14ac:dyDescent="0.3">
      <c r="A210" s="3" t="s">
        <v>306</v>
      </c>
      <c r="B210" s="3" t="s">
        <v>307</v>
      </c>
      <c r="C210" s="5" t="s">
        <v>306</v>
      </c>
      <c r="D210" s="5" t="str">
        <f>VLOOKUP(C210,Sheet2!A:C,3,0)</f>
        <v>La3eb</v>
      </c>
    </row>
    <row r="211" spans="1:4" x14ac:dyDescent="0.3">
      <c r="A211" s="3" t="s">
        <v>324</v>
      </c>
      <c r="B211" s="3" t="s">
        <v>325</v>
      </c>
      <c r="C211" s="5" t="s">
        <v>324</v>
      </c>
      <c r="D211" s="5" t="str">
        <f>VLOOKUP(C211,Sheet2!A:C,3,0)</f>
        <v>La Terra Showroom</v>
      </c>
    </row>
    <row r="212" spans="1:4" x14ac:dyDescent="0.3">
      <c r="A212" s="3">
        <v>5000043</v>
      </c>
      <c r="B212" s="3" t="s">
        <v>277</v>
      </c>
      <c r="C212" s="5">
        <v>1000422</v>
      </c>
      <c r="D212" s="5" t="str">
        <f>VLOOKUP(C212,Sheet2!A:C,3,0)</f>
        <v>KUTAYBA YUSUF ALGHANIM AND PARTNERS</v>
      </c>
    </row>
    <row r="213" spans="1:4" x14ac:dyDescent="0.3">
      <c r="A213" s="3" t="s">
        <v>316</v>
      </c>
      <c r="B213" s="3" t="s">
        <v>317</v>
      </c>
      <c r="C213" s="5" t="s">
        <v>316</v>
      </c>
      <c r="D213" s="5" t="str">
        <f>VLOOKUP(C213,Sheet2!A:C,3,0)</f>
        <v>King Fahd Showroom</v>
      </c>
    </row>
    <row r="214" spans="1:4" x14ac:dyDescent="0.3">
      <c r="A214" s="3">
        <v>2000557</v>
      </c>
      <c r="B214" s="3" t="s">
        <v>160</v>
      </c>
      <c r="C214" s="5">
        <v>2000594</v>
      </c>
      <c r="D214" s="5" t="str">
        <f>VLOOKUP(C214,Sheet2!A:C,3,0)</f>
        <v>Khudair Abdul Rahman Muhammad</v>
      </c>
    </row>
    <row r="215" spans="1:4" x14ac:dyDescent="0.3">
      <c r="A215" s="3">
        <v>2000594</v>
      </c>
      <c r="B215" s="3" t="s">
        <v>160</v>
      </c>
      <c r="C215" s="5">
        <v>2000594</v>
      </c>
      <c r="D215" s="5" t="str">
        <f>VLOOKUP(C215,Sheet2!A:C,3,0)</f>
        <v>Khudair Abdul Rahman Muhammad</v>
      </c>
    </row>
    <row r="216" spans="1:4" x14ac:dyDescent="0.3">
      <c r="A216" s="3">
        <v>2000713</v>
      </c>
      <c r="B216" s="3" t="s">
        <v>207</v>
      </c>
      <c r="C216" s="5">
        <v>2000594</v>
      </c>
      <c r="D216" s="5" t="str">
        <f>VLOOKUP(C216,Sheet2!A:C,3,0)</f>
        <v>Khudair Abdul Rahman Muhammad</v>
      </c>
    </row>
    <row r="217" spans="1:4" x14ac:dyDescent="0.3">
      <c r="A217" s="3">
        <v>2000714</v>
      </c>
      <c r="B217" s="3" t="s">
        <v>207</v>
      </c>
      <c r="C217" s="5">
        <v>2000594</v>
      </c>
      <c r="D217" s="5" t="str">
        <f>VLOOKUP(C217,Sheet2!A:C,3,0)</f>
        <v>Khudair Abdul Rahman Muhammad</v>
      </c>
    </row>
    <row r="218" spans="1:4" x14ac:dyDescent="0.3">
      <c r="A218" s="3">
        <v>3000437</v>
      </c>
      <c r="B218" s="3" t="s">
        <v>241</v>
      </c>
      <c r="C218" s="5">
        <v>3000437</v>
      </c>
      <c r="D218" s="5" t="str">
        <f>VLOOKUP(C218,Sheet2!A:C,3,0)</f>
        <v>Khotwa Istebaqia Est. for Trading</v>
      </c>
    </row>
    <row r="219" spans="1:4" x14ac:dyDescent="0.3">
      <c r="A219" s="3">
        <v>3000453</v>
      </c>
      <c r="B219" s="3" t="s">
        <v>241</v>
      </c>
      <c r="C219" s="5">
        <v>3000437</v>
      </c>
      <c r="D219" s="5" t="str">
        <f>VLOOKUP(C219,Sheet2!A:C,3,0)</f>
        <v>Khotwa Istebaqia Est. for Trading</v>
      </c>
    </row>
    <row r="220" spans="1:4" x14ac:dyDescent="0.3">
      <c r="A220" s="3">
        <v>3000464</v>
      </c>
      <c r="B220" s="3" t="s">
        <v>252</v>
      </c>
      <c r="C220" s="5">
        <v>3000437</v>
      </c>
      <c r="D220" s="5" t="str">
        <f>VLOOKUP(C220,Sheet2!A:C,3,0)</f>
        <v>Khotwa Istebaqia Est. for Trading</v>
      </c>
    </row>
    <row r="221" spans="1:4" x14ac:dyDescent="0.3">
      <c r="A221" s="3">
        <v>2000544</v>
      </c>
      <c r="B221" s="3" t="s">
        <v>156</v>
      </c>
      <c r="C221" s="5">
        <v>2000544</v>
      </c>
      <c r="D221" s="5" t="str">
        <f>VLOOKUP(C221,Sheet2!A:C,3,0)</f>
        <v>Kaya Alowla Trading Company</v>
      </c>
    </row>
    <row r="222" spans="1:4" x14ac:dyDescent="0.3">
      <c r="A222" s="3">
        <v>2000565</v>
      </c>
      <c r="B222" s="3" t="s">
        <v>156</v>
      </c>
      <c r="C222" s="5">
        <v>2000544</v>
      </c>
      <c r="D222" s="5" t="str">
        <f>VLOOKUP(C222,Sheet2!A:C,3,0)</f>
        <v>Kaya Alowla Trading Company</v>
      </c>
    </row>
    <row r="223" spans="1:4" x14ac:dyDescent="0.3">
      <c r="A223" s="3">
        <v>1000707</v>
      </c>
      <c r="B223" s="3" t="s">
        <v>30</v>
      </c>
      <c r="C223" s="5">
        <v>1000707</v>
      </c>
      <c r="D223" s="5" t="str">
        <f>VLOOKUP(C223,Sheet2!A:C,3,0)</f>
        <v>Kabsat Al Taqnyah for Trading &amp;</v>
      </c>
    </row>
    <row r="224" spans="1:4" x14ac:dyDescent="0.3">
      <c r="A224" s="3">
        <v>1000836</v>
      </c>
      <c r="B224" s="3" t="s">
        <v>55</v>
      </c>
      <c r="C224" s="5">
        <v>1000836</v>
      </c>
      <c r="D224" s="5" t="str">
        <f>VLOOKUP(C224,Sheet2!A:C,3,0)</f>
        <v>Jonon Allobah Trading Company</v>
      </c>
    </row>
    <row r="225" spans="1:4" x14ac:dyDescent="0.3">
      <c r="A225" s="3">
        <v>2000609</v>
      </c>
      <c r="B225" s="3" t="s">
        <v>178</v>
      </c>
      <c r="C225" s="5">
        <v>2000609</v>
      </c>
      <c r="D225" s="5" t="str">
        <f>VLOOKUP(C225,Sheet2!A:C,3,0)</f>
        <v>Jawharat Al Janoub Trading Company</v>
      </c>
    </row>
    <row r="226" spans="1:4" x14ac:dyDescent="0.3">
      <c r="A226" s="3">
        <v>2000634</v>
      </c>
      <c r="B226" s="3" t="s">
        <v>178</v>
      </c>
      <c r="C226" s="5">
        <v>2000609</v>
      </c>
      <c r="D226" s="5" t="str">
        <f>VLOOKUP(C226,Sheet2!A:C,3,0)</f>
        <v>Jawharat Al Janoub Trading Company</v>
      </c>
    </row>
    <row r="227" spans="1:4" x14ac:dyDescent="0.3">
      <c r="A227" s="3">
        <v>1000185</v>
      </c>
      <c r="B227" s="3" t="s">
        <v>7</v>
      </c>
      <c r="C227" s="5">
        <v>1000185</v>
      </c>
      <c r="D227" s="5" t="str">
        <f>VLOOKUP(C227,Sheet2!A:C,3,0)</f>
        <v>JARIR BOOK STORES</v>
      </c>
    </row>
    <row r="228" spans="1:4" x14ac:dyDescent="0.3">
      <c r="A228" s="3">
        <v>1000588</v>
      </c>
      <c r="B228" s="3" t="s">
        <v>19</v>
      </c>
      <c r="C228" s="5">
        <v>1000185</v>
      </c>
      <c r="D228" s="5" t="str">
        <f>VLOOKUP(C228,Sheet2!A:C,3,0)</f>
        <v>JARIR BOOK STORES</v>
      </c>
    </row>
    <row r="229" spans="1:4" x14ac:dyDescent="0.3">
      <c r="A229" s="3">
        <v>1000589</v>
      </c>
      <c r="B229" s="3" t="s">
        <v>20</v>
      </c>
      <c r="C229" s="5">
        <v>1000185</v>
      </c>
      <c r="D229" s="5" t="str">
        <f>VLOOKUP(C229,Sheet2!A:C,3,0)</f>
        <v>JARIR BOOK STORES</v>
      </c>
    </row>
    <row r="230" spans="1:4" x14ac:dyDescent="0.3">
      <c r="A230" s="3">
        <v>1000632</v>
      </c>
      <c r="B230" s="3" t="s">
        <v>24</v>
      </c>
      <c r="C230" s="5">
        <v>1000632</v>
      </c>
      <c r="D230" s="5" t="str">
        <f>VLOOKUP(C230,Sheet2!A:C,3,0)</f>
        <v>Irfan Moosa General Trading LLC</v>
      </c>
    </row>
    <row r="231" spans="1:4" x14ac:dyDescent="0.3">
      <c r="A231" s="3">
        <v>2000532</v>
      </c>
      <c r="B231" s="3" t="s">
        <v>149</v>
      </c>
      <c r="C231" s="5">
        <v>2000532</v>
      </c>
      <c r="D231" s="5" t="str">
        <f>VLOOKUP(C231,Sheet2!A:C,3,0)</f>
        <v>Infinity Tech Trading Company</v>
      </c>
    </row>
    <row r="232" spans="1:4" x14ac:dyDescent="0.3">
      <c r="A232" s="3">
        <v>1000798</v>
      </c>
      <c r="B232" s="3" t="s">
        <v>44</v>
      </c>
      <c r="C232" s="5">
        <v>1000798</v>
      </c>
      <c r="D232" s="5" t="str">
        <f>VLOOKUP(C232,Sheet2!A:C,3,0)</f>
        <v>Hussain Fahad Metaab AlMaziad</v>
      </c>
    </row>
    <row r="233" spans="1:4" x14ac:dyDescent="0.3">
      <c r="A233" s="3">
        <v>1000851</v>
      </c>
      <c r="B233" s="3" t="s">
        <v>44</v>
      </c>
      <c r="C233" s="5">
        <v>1000798</v>
      </c>
      <c r="D233" s="5" t="str">
        <f>VLOOKUP(C233,Sheet2!A:C,3,0)</f>
        <v>Hussain Fahad Metaab AlMaziad</v>
      </c>
    </row>
    <row r="234" spans="1:4" x14ac:dyDescent="0.3">
      <c r="A234" s="3">
        <v>5000037</v>
      </c>
      <c r="B234" s="3" t="s">
        <v>274</v>
      </c>
      <c r="C234" s="5">
        <v>5000037</v>
      </c>
      <c r="D234" s="5" t="str">
        <f>VLOOKUP(C234,Sheet2!A:C,3,0)</f>
        <v>Holoul Electronic Waste Treatment</v>
      </c>
    </row>
    <row r="235" spans="1:4" x14ac:dyDescent="0.3">
      <c r="A235" s="3">
        <v>7000022</v>
      </c>
      <c r="B235" s="3" t="s">
        <v>287</v>
      </c>
      <c r="C235" s="5">
        <v>7000022</v>
      </c>
      <c r="D235" s="5" t="str">
        <f>VLOOKUP(C235,Sheet2!A:C,3,0)</f>
        <v>Hisense Electronics LLC</v>
      </c>
    </row>
    <row r="236" spans="1:4" x14ac:dyDescent="0.3">
      <c r="A236" s="3" t="s">
        <v>310</v>
      </c>
      <c r="B236" s="3" t="s">
        <v>311</v>
      </c>
      <c r="C236" s="5" t="s">
        <v>310</v>
      </c>
      <c r="D236" s="5" t="str">
        <f>VLOOKUP(C236,Sheet2!A:C,3,0)</f>
        <v>Hassa Showroom</v>
      </c>
    </row>
    <row r="237" spans="1:4" x14ac:dyDescent="0.3">
      <c r="A237" s="3">
        <v>1000255</v>
      </c>
      <c r="B237" s="3" t="s">
        <v>9</v>
      </c>
      <c r="C237" s="5">
        <v>1000255</v>
      </c>
      <c r="D237" s="5" t="str">
        <f>VLOOKUP(C237,Sheet2!A:C,3,0)</f>
        <v>Gulf Co for Direct Distribution</v>
      </c>
    </row>
    <row r="238" spans="1:4" x14ac:dyDescent="0.3">
      <c r="A238" s="3" t="s">
        <v>308</v>
      </c>
      <c r="B238" s="3" t="s">
        <v>309</v>
      </c>
      <c r="C238" s="5" t="s">
        <v>308</v>
      </c>
      <c r="D238" s="5" t="str">
        <f>VLOOKUP(C238,Sheet2!A:C,3,0)</f>
        <v>Granada Mall Showroom</v>
      </c>
    </row>
    <row r="239" spans="1:4" x14ac:dyDescent="0.3">
      <c r="A239" s="3">
        <v>2000595</v>
      </c>
      <c r="B239" s="3" t="s">
        <v>172</v>
      </c>
      <c r="C239" s="5">
        <v>2000595</v>
      </c>
      <c r="D239" s="5" t="str">
        <f>VLOOKUP(C239,Sheet2!A:C,3,0)</f>
        <v>Ghassan Trading Company</v>
      </c>
    </row>
    <row r="240" spans="1:4" x14ac:dyDescent="0.3">
      <c r="A240" s="3">
        <v>2000455</v>
      </c>
      <c r="B240" s="3" t="s">
        <v>137</v>
      </c>
      <c r="C240" s="5">
        <v>2000455</v>
      </c>
      <c r="D240" s="5" t="str">
        <f>VLOOKUP(C240,Sheet2!A:C,3,0)</f>
        <v>Ghadeer Abdullah Al-Salem Trading</v>
      </c>
    </row>
    <row r="241" spans="1:4" x14ac:dyDescent="0.3">
      <c r="A241" s="3">
        <v>1000769</v>
      </c>
      <c r="B241" s="3" t="s">
        <v>35</v>
      </c>
      <c r="C241" s="5">
        <v>1000769</v>
      </c>
      <c r="D241" s="5" t="str">
        <f>VLOOKUP(C241,Sheet2!A:C,3,0)</f>
        <v>GeeKay Advanced Trading Company</v>
      </c>
    </row>
    <row r="242" spans="1:4" x14ac:dyDescent="0.3">
      <c r="A242" s="3">
        <v>1000770</v>
      </c>
      <c r="B242" s="3" t="s">
        <v>36</v>
      </c>
      <c r="C242" s="5">
        <v>1000769</v>
      </c>
      <c r="D242" s="5" t="str">
        <f>VLOOKUP(C242,Sheet2!A:C,3,0)</f>
        <v>GeeKay Advanced Trading Company</v>
      </c>
    </row>
    <row r="243" spans="1:4" x14ac:dyDescent="0.3">
      <c r="A243" s="3">
        <v>1000662</v>
      </c>
      <c r="B243" s="3" t="s">
        <v>27</v>
      </c>
      <c r="C243" s="5">
        <v>1000662</v>
      </c>
      <c r="D243" s="5" t="str">
        <f>VLOOKUP(C243,Sheet2!A:C,3,0)</f>
        <v>Game Of The Age</v>
      </c>
    </row>
    <row r="244" spans="1:4" x14ac:dyDescent="0.3">
      <c r="A244" s="3">
        <v>3000406</v>
      </c>
      <c r="B244" s="3" t="s">
        <v>234</v>
      </c>
      <c r="C244" s="5">
        <v>3000406</v>
      </c>
      <c r="D244" s="5" t="str">
        <f>VLOOKUP(C244,Sheet2!A:C,3,0)</f>
        <v>Future Smart Cards Trading Corporation</v>
      </c>
    </row>
    <row r="245" spans="1:4" x14ac:dyDescent="0.3">
      <c r="A245" s="3">
        <v>1001030</v>
      </c>
      <c r="B245" s="3" t="s">
        <v>119</v>
      </c>
      <c r="C245" s="5">
        <v>1001030</v>
      </c>
      <c r="D245" s="5" t="str">
        <f>VLOOKUP(C245,Sheet2!A:C,3,0)</f>
        <v>Folt for Home Appliances Est</v>
      </c>
    </row>
    <row r="246" spans="1:4" x14ac:dyDescent="0.3">
      <c r="A246" s="3">
        <v>1000919</v>
      </c>
      <c r="B246" s="3" t="s">
        <v>85</v>
      </c>
      <c r="C246" s="5">
        <v>1000924</v>
      </c>
      <c r="D246" s="5" t="str">
        <f>VLOOKUP(C246,Sheet2!A:C,3,0)</f>
        <v>Firstcry Trading Company one person</v>
      </c>
    </row>
    <row r="247" spans="1:4" x14ac:dyDescent="0.3">
      <c r="A247" s="3">
        <v>1000924</v>
      </c>
      <c r="B247" s="3" t="s">
        <v>85</v>
      </c>
      <c r="C247" s="5">
        <v>1000924</v>
      </c>
      <c r="D247" s="5" t="str">
        <f>VLOOKUP(C247,Sheet2!A:C,3,0)</f>
        <v>Firstcry Trading Company one person</v>
      </c>
    </row>
    <row r="248" spans="1:4" x14ac:dyDescent="0.3">
      <c r="A248" s="3">
        <v>1000925</v>
      </c>
      <c r="B248" s="3" t="s">
        <v>85</v>
      </c>
      <c r="C248" s="5">
        <v>1000924</v>
      </c>
      <c r="D248" s="5" t="str">
        <f>VLOOKUP(C248,Sheet2!A:C,3,0)</f>
        <v>Firstcry Trading Company one person</v>
      </c>
    </row>
    <row r="249" spans="1:4" x14ac:dyDescent="0.3">
      <c r="A249" s="3">
        <v>1400005700</v>
      </c>
      <c r="B249" s="3" t="s">
        <v>299</v>
      </c>
      <c r="C249" s="5">
        <v>1400005700</v>
      </c>
      <c r="D249" s="5" t="str">
        <f>VLOOKUP(C249,Sheet2!A:C,3,0)</f>
        <v>First Distribution Company</v>
      </c>
    </row>
    <row r="250" spans="1:4" x14ac:dyDescent="0.3">
      <c r="A250" s="3">
        <v>2000293</v>
      </c>
      <c r="B250" s="3" t="s">
        <v>131</v>
      </c>
      <c r="C250" s="5">
        <v>2000293</v>
      </c>
      <c r="D250" s="5" t="str">
        <f>VLOOKUP(C250,Sheet2!A:C,3,0)</f>
        <v>First Business Company</v>
      </c>
    </row>
    <row r="251" spans="1:4" x14ac:dyDescent="0.3">
      <c r="A251" s="3">
        <v>2000438</v>
      </c>
      <c r="B251" s="3" t="s">
        <v>131</v>
      </c>
      <c r="C251" s="5">
        <v>2000293</v>
      </c>
      <c r="D251" s="5" t="str">
        <f>VLOOKUP(C251,Sheet2!A:C,3,0)</f>
        <v>First Business Company</v>
      </c>
    </row>
    <row r="252" spans="1:4" x14ac:dyDescent="0.3">
      <c r="A252" s="3">
        <v>5000033</v>
      </c>
      <c r="B252" s="3" t="s">
        <v>271</v>
      </c>
      <c r="C252" s="5">
        <v>5000033</v>
      </c>
      <c r="D252" s="5" t="str">
        <f>VLOOKUP(C252,Sheet2!A:C,3,0)</f>
        <v>FAKHROO INTERNATIONAL</v>
      </c>
    </row>
    <row r="253" spans="1:4" x14ac:dyDescent="0.3">
      <c r="A253" s="3">
        <v>2000518</v>
      </c>
      <c r="B253" s="3" t="s">
        <v>140</v>
      </c>
      <c r="C253" s="5">
        <v>2000518</v>
      </c>
      <c r="D253" s="5" t="str">
        <f>VLOOKUP(C253,Sheet2!A:C,3,0)</f>
        <v>Fakhamat Air Conditioning Est.</v>
      </c>
    </row>
    <row r="254" spans="1:4" x14ac:dyDescent="0.3">
      <c r="A254" s="3">
        <v>2000571</v>
      </c>
      <c r="B254" s="3" t="s">
        <v>140</v>
      </c>
      <c r="C254" s="5">
        <v>2000518</v>
      </c>
      <c r="D254" s="5" t="str">
        <f>VLOOKUP(C254,Sheet2!A:C,3,0)</f>
        <v>Fakhamat Air Conditioning Est.</v>
      </c>
    </row>
    <row r="255" spans="1:4" x14ac:dyDescent="0.3">
      <c r="A255" s="3">
        <v>2000591</v>
      </c>
      <c r="B255" s="3" t="s">
        <v>140</v>
      </c>
      <c r="C255" s="5">
        <v>2000518</v>
      </c>
      <c r="D255" s="5" t="str">
        <f>VLOOKUP(C255,Sheet2!A:C,3,0)</f>
        <v>Fakhamat Air Conditioning Est.</v>
      </c>
    </row>
    <row r="256" spans="1:4" x14ac:dyDescent="0.3">
      <c r="A256" s="3">
        <v>2000724</v>
      </c>
      <c r="B256" s="3" t="s">
        <v>140</v>
      </c>
      <c r="C256" s="5">
        <v>2000518</v>
      </c>
      <c r="D256" s="5" t="str">
        <f>VLOOKUP(C256,Sheet2!A:C,3,0)</f>
        <v>Fakhamat Air Conditioning Est.</v>
      </c>
    </row>
    <row r="257" spans="1:4" x14ac:dyDescent="0.3">
      <c r="A257" s="3">
        <v>3000501</v>
      </c>
      <c r="B257" s="3" t="s">
        <v>262</v>
      </c>
      <c r="C257" s="5">
        <v>3000501</v>
      </c>
      <c r="D257" s="5" t="str">
        <f>VLOOKUP(C257,Sheet2!A:C,3,0)</f>
        <v>Fahad Al Shamal Establishment for H</v>
      </c>
    </row>
    <row r="258" spans="1:4" x14ac:dyDescent="0.3">
      <c r="A258" s="3">
        <v>3000502</v>
      </c>
      <c r="B258" s="3" t="s">
        <v>262</v>
      </c>
      <c r="C258" s="5">
        <v>3000501</v>
      </c>
      <c r="D258" s="5" t="str">
        <f>VLOOKUP(C258,Sheet2!A:C,3,0)</f>
        <v>Fahad Al Shamal Establishment for H</v>
      </c>
    </row>
    <row r="259" spans="1:4" x14ac:dyDescent="0.3">
      <c r="A259" s="3">
        <v>3000503</v>
      </c>
      <c r="B259" s="3" t="s">
        <v>262</v>
      </c>
      <c r="C259" s="5">
        <v>3000501</v>
      </c>
      <c r="D259" s="5" t="str">
        <f>VLOOKUP(C259,Sheet2!A:C,3,0)</f>
        <v>Fahad Al Shamal Establishment for H</v>
      </c>
    </row>
    <row r="260" spans="1:4" x14ac:dyDescent="0.3">
      <c r="A260" s="3">
        <v>1000945</v>
      </c>
      <c r="B260" s="3" t="s">
        <v>96</v>
      </c>
      <c r="C260" s="5">
        <v>3000105</v>
      </c>
      <c r="D260" s="5" t="str">
        <f>VLOOKUP(C260,Sheet2!A:C,3,0)</f>
        <v>EXTRA</v>
      </c>
    </row>
    <row r="261" spans="1:4" x14ac:dyDescent="0.3">
      <c r="A261" s="3">
        <v>3000105</v>
      </c>
      <c r="B261" s="3" t="s">
        <v>224</v>
      </c>
      <c r="C261" s="5">
        <v>3000105</v>
      </c>
      <c r="D261" s="5" t="str">
        <f>VLOOKUP(C261,Sheet2!A:C,3,0)</f>
        <v>EXTRA</v>
      </c>
    </row>
    <row r="262" spans="1:4" x14ac:dyDescent="0.3">
      <c r="A262" s="3">
        <v>3000284</v>
      </c>
      <c r="B262" s="3" t="s">
        <v>227</v>
      </c>
      <c r="C262" s="5">
        <v>3000105</v>
      </c>
      <c r="D262" s="5" t="str">
        <f>VLOOKUP(C262,Sheet2!A:C,3,0)</f>
        <v>EXTRA</v>
      </c>
    </row>
    <row r="263" spans="1:4" x14ac:dyDescent="0.3">
      <c r="A263" s="3">
        <v>3000376</v>
      </c>
      <c r="B263" s="3" t="s">
        <v>231</v>
      </c>
      <c r="C263" s="5">
        <v>3000105</v>
      </c>
      <c r="D263" s="5" t="str">
        <f>VLOOKUP(C263,Sheet2!A:C,3,0)</f>
        <v>EXTRA</v>
      </c>
    </row>
    <row r="264" spans="1:4" x14ac:dyDescent="0.3">
      <c r="A264" s="3">
        <v>3000479</v>
      </c>
      <c r="B264" s="3" t="s">
        <v>259</v>
      </c>
      <c r="C264" s="5">
        <v>3000105</v>
      </c>
      <c r="D264" s="5" t="str">
        <f>VLOOKUP(C264,Sheet2!A:C,3,0)</f>
        <v>EXTRA</v>
      </c>
    </row>
    <row r="265" spans="1:4" x14ac:dyDescent="0.3">
      <c r="A265" s="3">
        <v>5000035</v>
      </c>
      <c r="B265" s="3" t="s">
        <v>272</v>
      </c>
      <c r="C265" s="5">
        <v>3000105</v>
      </c>
      <c r="D265" s="5" t="str">
        <f>VLOOKUP(C265,Sheet2!A:C,3,0)</f>
        <v>EXTRA</v>
      </c>
    </row>
    <row r="266" spans="1:4" x14ac:dyDescent="0.3">
      <c r="A266" s="3">
        <v>2000739</v>
      </c>
      <c r="B266" s="3" t="s">
        <v>213</v>
      </c>
      <c r="C266" s="5">
        <v>2000739</v>
      </c>
      <c r="D266" s="5" t="str">
        <f>VLOOKUP(C266,Sheet2!A:C,3,0)</f>
        <v>Establishment MAKAN ALTUMAIEZ Comme</v>
      </c>
    </row>
    <row r="267" spans="1:4" x14ac:dyDescent="0.3">
      <c r="A267" s="3">
        <v>1000985</v>
      </c>
      <c r="B267" s="3" t="s">
        <v>106</v>
      </c>
      <c r="C267" s="5">
        <v>1000985</v>
      </c>
      <c r="D267" s="5" t="str">
        <f>VLOOKUP(C267,Sheet2!A:C,3,0)</f>
        <v>Establishment ALBRIQ ALSATI For log</v>
      </c>
    </row>
    <row r="268" spans="1:4" x14ac:dyDescent="0.3">
      <c r="A268" s="3">
        <v>5000006</v>
      </c>
      <c r="B268" s="3" t="s">
        <v>268</v>
      </c>
      <c r="C268" s="5">
        <v>5000006</v>
      </c>
      <c r="D268" s="5" t="str">
        <f>VLOOKUP(C268,Sheet2!A:C,3,0)</f>
        <v>ER Al Khobar Main SVC</v>
      </c>
    </row>
    <row r="269" spans="1:4" x14ac:dyDescent="0.3">
      <c r="A269" s="3">
        <v>7000009</v>
      </c>
      <c r="B269" s="3" t="s">
        <v>284</v>
      </c>
      <c r="C269" s="5">
        <v>7000009</v>
      </c>
      <c r="D269" s="5" t="str">
        <f>VLOOKUP(C269,Sheet2!A:C,3,0)</f>
        <v>Epay Digital Middle East FZ-LLC</v>
      </c>
    </row>
    <row r="270" spans="1:4" x14ac:dyDescent="0.3">
      <c r="A270" s="3">
        <v>2000566</v>
      </c>
      <c r="B270" s="3" t="s">
        <v>164</v>
      </c>
      <c r="C270" s="5">
        <v>2000567</v>
      </c>
      <c r="D270" s="5" t="str">
        <f>VLOOKUP(C270,Sheet2!A:C,3,0)</f>
        <v>Emtyaz Al Reyadah Trading Est.</v>
      </c>
    </row>
    <row r="271" spans="1:4" x14ac:dyDescent="0.3">
      <c r="A271" s="3">
        <v>2000567</v>
      </c>
      <c r="B271" s="3" t="s">
        <v>164</v>
      </c>
      <c r="C271" s="5">
        <v>2000567</v>
      </c>
      <c r="D271" s="5" t="str">
        <f>VLOOKUP(C271,Sheet2!A:C,3,0)</f>
        <v>Emtyaz Al Reyadah Trading Est.</v>
      </c>
    </row>
    <row r="272" spans="1:4" x14ac:dyDescent="0.3">
      <c r="A272" s="3">
        <v>1001017</v>
      </c>
      <c r="B272" s="3" t="s">
        <v>118</v>
      </c>
      <c r="C272" s="5">
        <v>1001017</v>
      </c>
      <c r="D272" s="5" t="str">
        <f>VLOOKUP(C272,Sheet2!A:C,3,0)</f>
        <v>Electronics House Trading Est</v>
      </c>
    </row>
    <row r="273" spans="1:4" x14ac:dyDescent="0.3">
      <c r="A273" s="3">
        <v>1001018</v>
      </c>
      <c r="B273" s="3" t="s">
        <v>118</v>
      </c>
      <c r="C273" s="5">
        <v>1001017</v>
      </c>
      <c r="D273" s="5" t="str">
        <f>VLOOKUP(C273,Sheet2!A:C,3,0)</f>
        <v>Electronics House Trading Est</v>
      </c>
    </row>
    <row r="274" spans="1:4" x14ac:dyDescent="0.3">
      <c r="A274" s="3">
        <v>1400006100</v>
      </c>
      <c r="B274" s="3" t="s">
        <v>301</v>
      </c>
      <c r="C274" s="5">
        <v>1400006100</v>
      </c>
      <c r="D274" s="5" t="str">
        <f>VLOOKUP(C274,Sheet2!A:C,3,0)</f>
        <v>Electronics &amp; Systems Holding Company</v>
      </c>
    </row>
    <row r="275" spans="1:4" x14ac:dyDescent="0.3">
      <c r="A275" s="3">
        <v>2000239</v>
      </c>
      <c r="B275" s="3" t="s">
        <v>129</v>
      </c>
      <c r="C275" s="5">
        <v>2000239</v>
      </c>
      <c r="D275" s="5" t="str">
        <f>VLOOKUP(C275,Sheet2!A:C,3,0)</f>
        <v>Ehsas Al Salam Trading Co.</v>
      </c>
    </row>
    <row r="276" spans="1:4" x14ac:dyDescent="0.3">
      <c r="A276" s="3">
        <v>2000439</v>
      </c>
      <c r="B276" s="3" t="s">
        <v>129</v>
      </c>
      <c r="C276" s="5">
        <v>2000239</v>
      </c>
      <c r="D276" s="5" t="str">
        <f>VLOOKUP(C276,Sheet2!A:C,3,0)</f>
        <v>Ehsas Al Salam Trading Co.</v>
      </c>
    </row>
    <row r="277" spans="1:4" x14ac:dyDescent="0.3">
      <c r="A277" s="3">
        <v>2000263</v>
      </c>
      <c r="B277" s="3" t="s">
        <v>130</v>
      </c>
      <c r="C277" s="5">
        <v>2000263</v>
      </c>
      <c r="D277" s="5" t="str">
        <f>VLOOKUP(C277,Sheet2!A:C,3,0)</f>
        <v>EDDY United Co. Ltd.(Head Office)</v>
      </c>
    </row>
    <row r="278" spans="1:4" x14ac:dyDescent="0.3">
      <c r="A278" s="3">
        <v>1000927</v>
      </c>
      <c r="B278" s="3" t="s">
        <v>87</v>
      </c>
      <c r="C278" s="5">
        <v>1000927</v>
      </c>
      <c r="D278" s="5" t="str">
        <f>VLOOKUP(C278,Sheet2!A:C,3,0)</f>
        <v>Diyar Al Moobtekron International C</v>
      </c>
    </row>
    <row r="279" spans="1:4" x14ac:dyDescent="0.3">
      <c r="A279" s="3">
        <v>2000576</v>
      </c>
      <c r="B279" s="3" t="s">
        <v>168</v>
      </c>
      <c r="C279" s="5">
        <v>2000576</v>
      </c>
      <c r="D279" s="5" t="str">
        <f>VLOOKUP(C279,Sheet2!A:C,3,0)</f>
        <v>Diyar Al Fares Trading Company</v>
      </c>
    </row>
    <row r="280" spans="1:4" x14ac:dyDescent="0.3">
      <c r="A280" s="3">
        <v>2000697</v>
      </c>
      <c r="B280" s="3" t="s">
        <v>204</v>
      </c>
      <c r="C280" s="5">
        <v>2000576</v>
      </c>
      <c r="D280" s="5" t="str">
        <f>VLOOKUP(C280,Sheet2!A:C,3,0)</f>
        <v>Diyar Al Fares Trading Company</v>
      </c>
    </row>
    <row r="281" spans="1:4" x14ac:dyDescent="0.3">
      <c r="A281" s="3">
        <v>2000698</v>
      </c>
      <c r="B281" s="3" t="s">
        <v>204</v>
      </c>
      <c r="C281" s="5">
        <v>2000576</v>
      </c>
      <c r="D281" s="5" t="str">
        <f>VLOOKUP(C281,Sheet2!A:C,3,0)</f>
        <v>Diyar Al Fares Trading Company</v>
      </c>
    </row>
    <row r="282" spans="1:4" x14ac:dyDescent="0.3">
      <c r="A282" s="3">
        <v>2000699</v>
      </c>
      <c r="B282" s="3" t="s">
        <v>204</v>
      </c>
      <c r="C282" s="5">
        <v>2000576</v>
      </c>
      <c r="D282" s="5" t="str">
        <f>VLOOKUP(C282,Sheet2!A:C,3,0)</f>
        <v>Diyar Al Fares Trading Company</v>
      </c>
    </row>
    <row r="283" spans="1:4" x14ac:dyDescent="0.3">
      <c r="A283" s="3">
        <v>2000546</v>
      </c>
      <c r="B283" s="3" t="s">
        <v>158</v>
      </c>
      <c r="C283" s="5">
        <v>2000546</v>
      </c>
      <c r="D283" s="5" t="str">
        <f>VLOOKUP(C283,Sheet2!A:C,3,0)</f>
        <v>Dharkam</v>
      </c>
    </row>
    <row r="284" spans="1:4" x14ac:dyDescent="0.3">
      <c r="A284" s="3">
        <v>2000578</v>
      </c>
      <c r="B284" s="3" t="s">
        <v>158</v>
      </c>
      <c r="C284" s="5">
        <v>2000546</v>
      </c>
      <c r="D284" s="5" t="str">
        <f>VLOOKUP(C284,Sheet2!A:C,3,0)</f>
        <v>Dharkam</v>
      </c>
    </row>
    <row r="285" spans="1:4" x14ac:dyDescent="0.3">
      <c r="A285" s="3">
        <v>2000652</v>
      </c>
      <c r="B285" s="3" t="s">
        <v>200</v>
      </c>
      <c r="C285" s="5">
        <v>2000546</v>
      </c>
      <c r="D285" s="5" t="str">
        <f>VLOOKUP(C285,Sheet2!A:C,3,0)</f>
        <v>Dharkam</v>
      </c>
    </row>
    <row r="286" spans="1:4" x14ac:dyDescent="0.3">
      <c r="A286" s="3">
        <v>2000709</v>
      </c>
      <c r="B286" s="3" t="s">
        <v>200</v>
      </c>
      <c r="C286" s="5">
        <v>2000546</v>
      </c>
      <c r="D286" s="5" t="str">
        <f>VLOOKUP(C286,Sheet2!A:C,3,0)</f>
        <v>Dharkam</v>
      </c>
    </row>
    <row r="287" spans="1:4" x14ac:dyDescent="0.3">
      <c r="A287" s="3">
        <v>2000710</v>
      </c>
      <c r="B287" s="3" t="s">
        <v>200</v>
      </c>
      <c r="C287" s="5">
        <v>2000546</v>
      </c>
      <c r="D287" s="5" t="str">
        <f>VLOOKUP(C287,Sheet2!A:C,3,0)</f>
        <v>Dharkam</v>
      </c>
    </row>
    <row r="288" spans="1:4" x14ac:dyDescent="0.3">
      <c r="A288" s="3">
        <v>2000610</v>
      </c>
      <c r="B288" s="3" t="s">
        <v>179</v>
      </c>
      <c r="C288" s="5">
        <v>2000610</v>
      </c>
      <c r="D288" s="5" t="str">
        <f>VLOOKUP(C288,Sheet2!A:C,3,0)</f>
        <v>Developed Devices Commercial Compan</v>
      </c>
    </row>
    <row r="289" spans="1:4" x14ac:dyDescent="0.3">
      <c r="A289" s="3">
        <v>7000008</v>
      </c>
      <c r="B289" s="3" t="s">
        <v>283</v>
      </c>
      <c r="C289" s="5">
        <v>7000008</v>
      </c>
      <c r="D289" s="5" t="str">
        <f>VLOOKUP(C289,Sheet2!A:C,3,0)</f>
        <v>DEVCO FZ LLC</v>
      </c>
    </row>
    <row r="290" spans="1:4" x14ac:dyDescent="0.3">
      <c r="A290" s="3" t="s">
        <v>346</v>
      </c>
      <c r="B290" s="3" t="s">
        <v>347</v>
      </c>
      <c r="C290" s="5" t="s">
        <v>346</v>
      </c>
      <c r="D290" s="5" t="str">
        <f>VLOOKUP(C290,Sheet2!A:C,3,0)</f>
        <v>Dar Al Wakalat Showroom</v>
      </c>
    </row>
    <row r="291" spans="1:4" x14ac:dyDescent="0.3">
      <c r="A291" s="3">
        <v>2000436</v>
      </c>
      <c r="B291" s="3" t="s">
        <v>135</v>
      </c>
      <c r="C291" s="5">
        <v>2000443</v>
      </c>
      <c r="D291" s="5" t="str">
        <f>VLOOKUP(C291,Sheet2!A:C,3,0)</f>
        <v>Danube  Company -HO</v>
      </c>
    </row>
    <row r="292" spans="1:4" x14ac:dyDescent="0.3">
      <c r="A292" s="3">
        <v>2000443</v>
      </c>
      <c r="B292" s="3" t="s">
        <v>136</v>
      </c>
      <c r="C292" s="5">
        <v>2000443</v>
      </c>
      <c r="D292" s="5" t="str">
        <f>VLOOKUP(C292,Sheet2!A:C,3,0)</f>
        <v>Danube  Company -HO</v>
      </c>
    </row>
    <row r="293" spans="1:4" x14ac:dyDescent="0.3">
      <c r="A293" s="3" t="s">
        <v>302</v>
      </c>
      <c r="B293" s="3" t="s">
        <v>303</v>
      </c>
      <c r="C293" s="5" t="s">
        <v>302</v>
      </c>
      <c r="D293" s="5" t="str">
        <f>VLOOKUP(C293,Sheet2!A:C,3,0)</f>
        <v>Dammam Showroom</v>
      </c>
    </row>
    <row r="294" spans="1:4" x14ac:dyDescent="0.3">
      <c r="A294" s="3" t="s">
        <v>304</v>
      </c>
      <c r="B294" s="3" t="s">
        <v>305</v>
      </c>
      <c r="C294" s="5" t="s">
        <v>304</v>
      </c>
      <c r="D294" s="5" t="str">
        <f>VLOOKUP(C294,Sheet2!A:C,3,0)</f>
        <v>Dammam 2 Showroom</v>
      </c>
    </row>
    <row r="295" spans="1:4" x14ac:dyDescent="0.3">
      <c r="A295" s="3">
        <v>1000869</v>
      </c>
      <c r="B295" s="3" t="s">
        <v>63</v>
      </c>
      <c r="C295" s="5">
        <v>1000869</v>
      </c>
      <c r="D295" s="5" t="str">
        <f>VLOOKUP(C295,Sheet2!A:C,3,0)</f>
        <v>Daerah Al Hadaf Trading Est</v>
      </c>
    </row>
    <row r="296" spans="1:4" x14ac:dyDescent="0.3">
      <c r="A296" s="3">
        <v>1000898</v>
      </c>
      <c r="B296" s="3" t="s">
        <v>63</v>
      </c>
      <c r="C296" s="5">
        <v>1000869</v>
      </c>
      <c r="D296" s="5" t="str">
        <f>VLOOKUP(C296,Sheet2!A:C,3,0)</f>
        <v>Daerah Al Hadaf Trading Est</v>
      </c>
    </row>
    <row r="297" spans="1:4" x14ac:dyDescent="0.3">
      <c r="A297" s="3">
        <v>5000011</v>
      </c>
      <c r="B297" s="3" t="s">
        <v>269</v>
      </c>
      <c r="C297" s="5">
        <v>5000011</v>
      </c>
      <c r="D297" s="5" t="str">
        <f>VLOOKUP(C297,Sheet2!A:C,3,0)</f>
        <v>CR Riyadh Main SVC</v>
      </c>
    </row>
    <row r="298" spans="1:4" x14ac:dyDescent="0.3">
      <c r="A298" s="3">
        <v>5000013</v>
      </c>
      <c r="B298" s="3" t="s">
        <v>270</v>
      </c>
      <c r="C298" s="5">
        <v>5000013</v>
      </c>
      <c r="D298" s="5" t="str">
        <f>VLOOKUP(C298,Sheet2!A:C,3,0)</f>
        <v>CR Gassim  SVC</v>
      </c>
    </row>
    <row r="299" spans="1:4" x14ac:dyDescent="0.3">
      <c r="A299" s="3">
        <v>3000444</v>
      </c>
      <c r="B299" s="3" t="s">
        <v>246</v>
      </c>
      <c r="C299" s="5">
        <v>3000444</v>
      </c>
      <c r="D299" s="5" t="str">
        <f>VLOOKUP(C299,Sheet2!A:C,3,0)</f>
        <v>Cold World Trading Est</v>
      </c>
    </row>
    <row r="300" spans="1:4" x14ac:dyDescent="0.3">
      <c r="A300" s="3">
        <v>3000451</v>
      </c>
      <c r="B300" s="3" t="s">
        <v>246</v>
      </c>
      <c r="C300" s="5">
        <v>3000444</v>
      </c>
      <c r="D300" s="5" t="str">
        <f>VLOOKUP(C300,Sheet2!A:C,3,0)</f>
        <v>Cold World Trading Est</v>
      </c>
    </row>
    <row r="301" spans="1:4" x14ac:dyDescent="0.3">
      <c r="A301" s="3">
        <v>3000460</v>
      </c>
      <c r="B301" s="3" t="s">
        <v>246</v>
      </c>
      <c r="C301" s="5">
        <v>3000444</v>
      </c>
      <c r="D301" s="5" t="str">
        <f>VLOOKUP(C301,Sheet2!A:C,3,0)</f>
        <v>Cold World Trading Est</v>
      </c>
    </row>
    <row r="302" spans="1:4" x14ac:dyDescent="0.3">
      <c r="A302" s="3">
        <v>3000497</v>
      </c>
      <c r="B302" s="3" t="s">
        <v>246</v>
      </c>
      <c r="C302" s="5">
        <v>3000444</v>
      </c>
      <c r="D302" s="5" t="str">
        <f>VLOOKUP(C302,Sheet2!A:C,3,0)</f>
        <v>Cold World Trading Est</v>
      </c>
    </row>
    <row r="303" spans="1:4" x14ac:dyDescent="0.3">
      <c r="A303" s="3">
        <v>1000857</v>
      </c>
      <c r="B303" s="3" t="s">
        <v>60</v>
      </c>
      <c r="C303" s="5">
        <v>1000857</v>
      </c>
      <c r="D303" s="5" t="str">
        <f>VLOOKUP(C303,Sheet2!A:C,3,0)</f>
        <v>Cold Corner Company for selling</v>
      </c>
    </row>
    <row r="304" spans="1:4" x14ac:dyDescent="0.3">
      <c r="A304" s="3">
        <v>1000864</v>
      </c>
      <c r="B304" s="3" t="s">
        <v>60</v>
      </c>
      <c r="C304" s="5">
        <v>1000857</v>
      </c>
      <c r="D304" s="5" t="str">
        <f>VLOOKUP(C304,Sheet2!A:C,3,0)</f>
        <v>Cold Corner Company for selling</v>
      </c>
    </row>
    <row r="305" spans="1:4" x14ac:dyDescent="0.3">
      <c r="A305" s="3">
        <v>1000935</v>
      </c>
      <c r="B305" s="3" t="s">
        <v>91</v>
      </c>
      <c r="C305" s="5">
        <v>1000079</v>
      </c>
      <c r="D305" s="5" t="str">
        <f>VLOOKUP(C305,Sheet2!A:C,3,0)</f>
        <v>Carrefour Saudi Hypermarkets Co</v>
      </c>
    </row>
    <row r="306" spans="1:4" x14ac:dyDescent="0.3">
      <c r="A306" s="3">
        <v>1000937</v>
      </c>
      <c r="B306" s="3" t="s">
        <v>91</v>
      </c>
      <c r="C306" s="5">
        <v>1000079</v>
      </c>
      <c r="D306" s="5" t="str">
        <f>VLOOKUP(C306,Sheet2!A:C,3,0)</f>
        <v>Carrefour Saudi Hypermarkets Co</v>
      </c>
    </row>
    <row r="307" spans="1:4" x14ac:dyDescent="0.3">
      <c r="A307" s="3">
        <v>1000949</v>
      </c>
      <c r="B307" s="3" t="s">
        <v>91</v>
      </c>
      <c r="C307" s="5">
        <v>1000079</v>
      </c>
      <c r="D307" s="5" t="str">
        <f>VLOOKUP(C307,Sheet2!A:C,3,0)</f>
        <v>Carrefour Saudi Hypermarkets Co</v>
      </c>
    </row>
    <row r="308" spans="1:4" x14ac:dyDescent="0.3">
      <c r="A308" s="3">
        <v>1000079</v>
      </c>
      <c r="B308" s="3" t="s">
        <v>3</v>
      </c>
      <c r="C308" s="5">
        <v>1000001</v>
      </c>
      <c r="D308" s="5" t="str">
        <f>VLOOKUP(C308,Sheet2!A:C,3,0)</f>
        <v>C4</v>
      </c>
    </row>
    <row r="309" spans="1:4" x14ac:dyDescent="0.3">
      <c r="A309" s="3">
        <v>1000111</v>
      </c>
      <c r="B309" s="3" t="s">
        <v>5</v>
      </c>
      <c r="C309" s="5">
        <v>1000001</v>
      </c>
      <c r="D309" s="5" t="str">
        <f>VLOOKUP(C309,Sheet2!A:C,3,0)</f>
        <v>C4</v>
      </c>
    </row>
    <row r="310" spans="1:4" x14ac:dyDescent="0.3">
      <c r="A310" s="3">
        <v>1000117</v>
      </c>
      <c r="B310" s="3" t="s">
        <v>6</v>
      </c>
      <c r="C310" s="5">
        <v>1000001</v>
      </c>
      <c r="D310" s="5" t="str">
        <f>VLOOKUP(C310,Sheet2!A:C,3,0)</f>
        <v>C4</v>
      </c>
    </row>
    <row r="311" spans="1:4" x14ac:dyDescent="0.3">
      <c r="A311" s="3">
        <v>2000084</v>
      </c>
      <c r="B311" s="3" t="s">
        <v>123</v>
      </c>
      <c r="C311" s="5">
        <v>1000001</v>
      </c>
      <c r="D311" s="5" t="str">
        <f>VLOOKUP(C311,Sheet2!A:C,3,0)</f>
        <v>C4</v>
      </c>
    </row>
    <row r="312" spans="1:4" x14ac:dyDescent="0.3">
      <c r="A312" s="3">
        <v>2000216</v>
      </c>
      <c r="B312" s="3" t="s">
        <v>128</v>
      </c>
      <c r="C312" s="5">
        <v>1000001</v>
      </c>
      <c r="D312" s="5" t="str">
        <f>VLOOKUP(C312,Sheet2!A:C,3,0)</f>
        <v>C4</v>
      </c>
    </row>
    <row r="313" spans="1:4" x14ac:dyDescent="0.3">
      <c r="A313" s="3">
        <v>3000335</v>
      </c>
      <c r="B313" s="3" t="s">
        <v>229</v>
      </c>
      <c r="C313" s="5">
        <v>1000001</v>
      </c>
      <c r="D313" s="5" t="str">
        <f>VLOOKUP(C313,Sheet2!A:C,3,0)</f>
        <v>C4</v>
      </c>
    </row>
    <row r="314" spans="1:4" x14ac:dyDescent="0.3">
      <c r="A314" s="3">
        <v>6000007</v>
      </c>
      <c r="B314" s="3" t="s">
        <v>280</v>
      </c>
      <c r="C314" s="5">
        <v>1000001</v>
      </c>
      <c r="D314" s="5" t="str">
        <f>VLOOKUP(C314,Sheet2!A:C,3,0)</f>
        <v>C4</v>
      </c>
    </row>
    <row r="315" spans="1:4" x14ac:dyDescent="0.3">
      <c r="A315" s="3">
        <v>3000007</v>
      </c>
      <c r="B315" s="3" t="s">
        <v>219</v>
      </c>
      <c r="C315" s="5">
        <v>3000007</v>
      </c>
      <c r="D315" s="5" t="str">
        <f>VLOOKUP(C315,Sheet2!A:C,3,0)</f>
        <v>Bu-Khamsin Est.For Elec.Equp.</v>
      </c>
    </row>
    <row r="316" spans="1:4" x14ac:dyDescent="0.3">
      <c r="A316" s="3">
        <v>2000696</v>
      </c>
      <c r="B316" s="3" t="s">
        <v>203</v>
      </c>
      <c r="C316" s="5">
        <v>2000696</v>
      </c>
      <c r="D316" s="5" t="str">
        <f>VLOOKUP(C316,Sheet2!A:C,3,0)</f>
        <v>Blue Smart Company for Electronic D</v>
      </c>
    </row>
    <row r="317" spans="1:4" x14ac:dyDescent="0.3">
      <c r="A317" s="3">
        <v>2000735</v>
      </c>
      <c r="B317" s="3" t="s">
        <v>203</v>
      </c>
      <c r="C317" s="5">
        <v>2000696</v>
      </c>
      <c r="D317" s="5" t="str">
        <f>VLOOKUP(C317,Sheet2!A:C,3,0)</f>
        <v>Blue Smart Company for Electronic D</v>
      </c>
    </row>
    <row r="318" spans="1:4" x14ac:dyDescent="0.3">
      <c r="A318" s="3">
        <v>1000870</v>
      </c>
      <c r="B318" s="3" t="s">
        <v>64</v>
      </c>
      <c r="C318" s="5">
        <v>1000870</v>
      </c>
      <c r="D318" s="5" t="str">
        <f>VLOOKUP(C318,Sheet2!A:C,3,0)</f>
        <v>Blu store Company</v>
      </c>
    </row>
    <row r="319" spans="1:4" x14ac:dyDescent="0.3">
      <c r="A319" s="3">
        <v>1000480</v>
      </c>
      <c r="B319" s="3" t="s">
        <v>15</v>
      </c>
      <c r="C319" s="5">
        <v>1000480</v>
      </c>
      <c r="D319" s="5" t="str">
        <f>VLOOKUP(C319,Sheet2!A:C,3,0)</f>
        <v>Black Box Co.</v>
      </c>
    </row>
    <row r="320" spans="1:4" x14ac:dyDescent="0.3">
      <c r="A320" s="3">
        <v>1000807</v>
      </c>
      <c r="B320" s="3" t="s">
        <v>46</v>
      </c>
      <c r="C320" s="5">
        <v>1000480</v>
      </c>
      <c r="D320" s="5" t="str">
        <f>VLOOKUP(C320,Sheet2!A:C,3,0)</f>
        <v>Black Box Co.</v>
      </c>
    </row>
    <row r="321" spans="1:4" x14ac:dyDescent="0.3">
      <c r="A321" s="3">
        <v>1000861</v>
      </c>
      <c r="B321" s="3" t="s">
        <v>46</v>
      </c>
      <c r="C321" s="5">
        <v>1000480</v>
      </c>
      <c r="D321" s="5" t="str">
        <f>VLOOKUP(C321,Sheet2!A:C,3,0)</f>
        <v>Black Box Co.</v>
      </c>
    </row>
    <row r="322" spans="1:4" x14ac:dyDescent="0.3">
      <c r="A322" s="3">
        <v>1000903</v>
      </c>
      <c r="B322" s="3" t="s">
        <v>73</v>
      </c>
      <c r="C322" s="5">
        <v>1000480</v>
      </c>
      <c r="D322" s="5" t="str">
        <f>VLOOKUP(C322,Sheet2!A:C,3,0)</f>
        <v>Black Box Co.</v>
      </c>
    </row>
    <row r="323" spans="1:4" x14ac:dyDescent="0.3">
      <c r="A323" s="3">
        <v>2000629</v>
      </c>
      <c r="B323" s="3" t="s">
        <v>189</v>
      </c>
      <c r="C323" s="5">
        <v>2000629</v>
      </c>
      <c r="D323" s="5" t="str">
        <f>VLOOKUP(C323,Sheet2!A:C,3,0)</f>
        <v>Bin Momen Trading Company</v>
      </c>
    </row>
    <row r="324" spans="1:4" x14ac:dyDescent="0.3">
      <c r="A324" s="3">
        <v>2000643</v>
      </c>
      <c r="B324" s="3" t="s">
        <v>189</v>
      </c>
      <c r="C324" s="5">
        <v>2000629</v>
      </c>
      <c r="D324" s="5" t="str">
        <f>VLOOKUP(C324,Sheet2!A:C,3,0)</f>
        <v>Bin Momen Trading Company</v>
      </c>
    </row>
    <row r="325" spans="1:4" x14ac:dyDescent="0.3">
      <c r="A325" s="3">
        <v>2000717</v>
      </c>
      <c r="B325" s="3" t="s">
        <v>189</v>
      </c>
      <c r="C325" s="5">
        <v>2000629</v>
      </c>
      <c r="D325" s="5" t="str">
        <f>VLOOKUP(C325,Sheet2!A:C,3,0)</f>
        <v>Bin Momen Trading Company</v>
      </c>
    </row>
    <row r="326" spans="1:4" x14ac:dyDescent="0.3">
      <c r="A326" s="3">
        <v>2000633</v>
      </c>
      <c r="B326" s="3" t="s">
        <v>193</v>
      </c>
      <c r="C326" s="5">
        <v>2000633</v>
      </c>
      <c r="D326" s="5" t="str">
        <f>VLOOKUP(C326,Sheet2!A:C,3,0)</f>
        <v>Bin Hamoud Saudi Trading Company</v>
      </c>
    </row>
    <row r="327" spans="1:4" x14ac:dyDescent="0.3">
      <c r="A327" s="3">
        <v>2000636</v>
      </c>
      <c r="B327" s="3" t="s">
        <v>193</v>
      </c>
      <c r="C327" s="5">
        <v>2000633</v>
      </c>
      <c r="D327" s="5" t="str">
        <f>VLOOKUP(C327,Sheet2!A:C,3,0)</f>
        <v>Bin Hamoud Saudi Trading Company</v>
      </c>
    </row>
    <row r="328" spans="1:4" x14ac:dyDescent="0.3">
      <c r="A328" s="3">
        <v>2000637</v>
      </c>
      <c r="B328" s="3" t="s">
        <v>193</v>
      </c>
      <c r="C328" s="5">
        <v>2000633</v>
      </c>
      <c r="D328" s="5" t="str">
        <f>VLOOKUP(C328,Sheet2!A:C,3,0)</f>
        <v>Bin Hamoud Saudi Trading Company</v>
      </c>
    </row>
    <row r="329" spans="1:4" x14ac:dyDescent="0.3">
      <c r="A329" s="3">
        <v>2000641</v>
      </c>
      <c r="B329" s="3" t="s">
        <v>193</v>
      </c>
      <c r="C329" s="5">
        <v>2000633</v>
      </c>
      <c r="D329" s="5" t="str">
        <f>VLOOKUP(C329,Sheet2!A:C,3,0)</f>
        <v>Bin Hamoud Saudi Trading Company</v>
      </c>
    </row>
    <row r="330" spans="1:4" x14ac:dyDescent="0.3">
      <c r="A330" s="3">
        <v>2000693</v>
      </c>
      <c r="B330" s="3" t="s">
        <v>193</v>
      </c>
      <c r="C330" s="5">
        <v>2000633</v>
      </c>
      <c r="D330" s="5" t="str">
        <f>VLOOKUP(C330,Sheet2!A:C,3,0)</f>
        <v>Bin Hamoud Saudi Trading Company</v>
      </c>
    </row>
    <row r="331" spans="1:4" x14ac:dyDescent="0.3">
      <c r="A331" s="3">
        <v>2000695</v>
      </c>
      <c r="B331" s="3" t="s">
        <v>193</v>
      </c>
      <c r="C331" s="5">
        <v>2000633</v>
      </c>
      <c r="D331" s="5" t="str">
        <f>VLOOKUP(C331,Sheet2!A:C,3,0)</f>
        <v>Bin Hamoud Saudi Trading Company</v>
      </c>
    </row>
    <row r="332" spans="1:4" x14ac:dyDescent="0.3">
      <c r="A332" s="3">
        <v>2000651</v>
      </c>
      <c r="B332" s="3" t="s">
        <v>199</v>
      </c>
      <c r="C332" s="5">
        <v>2000651</v>
      </c>
      <c r="D332" s="5" t="str">
        <f>VLOOKUP(C332,Sheet2!A:C,3,0)</f>
        <v>Biladi Almutamayyizah Commercial Co</v>
      </c>
    </row>
    <row r="333" spans="1:4" x14ac:dyDescent="0.3">
      <c r="A333" s="3" t="s">
        <v>330</v>
      </c>
      <c r="B333" s="3" t="s">
        <v>331</v>
      </c>
      <c r="C333" s="5" t="s">
        <v>330</v>
      </c>
      <c r="D333" s="5" t="str">
        <f>VLOOKUP(C333,Sheet2!A:C,3,0)</f>
        <v>Batha Showroom</v>
      </c>
    </row>
    <row r="334" spans="1:4" x14ac:dyDescent="0.3">
      <c r="A334" s="3">
        <v>1000904</v>
      </c>
      <c r="B334" s="3" t="s">
        <v>74</v>
      </c>
      <c r="C334" s="5">
        <v>1000904</v>
      </c>
      <c r="D334" s="5" t="str">
        <f>VLOOKUP(C334,Sheet2!A:C,3,0)</f>
        <v>Basil bin Fahd bin Miteb Al Mazyad</v>
      </c>
    </row>
    <row r="335" spans="1:4" x14ac:dyDescent="0.3">
      <c r="A335" s="3">
        <v>1000928</v>
      </c>
      <c r="B335" s="3" t="s">
        <v>74</v>
      </c>
      <c r="C335" s="5">
        <v>1000904</v>
      </c>
      <c r="D335" s="5" t="str">
        <f>VLOOKUP(C335,Sheet2!A:C,3,0)</f>
        <v>Basil bin Fahd bin Miteb Al Mazyad</v>
      </c>
    </row>
    <row r="336" spans="1:4" x14ac:dyDescent="0.3">
      <c r="A336" s="3">
        <v>1000981</v>
      </c>
      <c r="B336" s="3" t="s">
        <v>74</v>
      </c>
      <c r="C336" s="5">
        <v>1000904</v>
      </c>
      <c r="D336" s="5" t="str">
        <f>VLOOKUP(C336,Sheet2!A:C,3,0)</f>
        <v>Basil bin Fahd bin Miteb Al Mazyad</v>
      </c>
    </row>
    <row r="337" spans="1:4" x14ac:dyDescent="0.3">
      <c r="A337" s="3">
        <v>1000905</v>
      </c>
      <c r="B337" s="3" t="s">
        <v>75</v>
      </c>
      <c r="C337" s="5">
        <v>1000905</v>
      </c>
      <c r="D337" s="5" t="str">
        <f>VLOOKUP(C337,Sheet2!A:C,3,0)</f>
        <v>Bandar Ali AlSudairi Trading Est</v>
      </c>
    </row>
    <row r="338" spans="1:4" x14ac:dyDescent="0.3">
      <c r="A338" s="3">
        <v>1000909</v>
      </c>
      <c r="B338" s="3" t="s">
        <v>77</v>
      </c>
      <c r="C338" s="5">
        <v>1000905</v>
      </c>
      <c r="D338" s="5" t="str">
        <f>VLOOKUP(C338,Sheet2!A:C,3,0)</f>
        <v>Bandar Ali AlSudairi Trading Est</v>
      </c>
    </row>
    <row r="339" spans="1:4" x14ac:dyDescent="0.3">
      <c r="A339" s="3">
        <v>1001007</v>
      </c>
      <c r="B339" s="3" t="s">
        <v>113</v>
      </c>
      <c r="C339" s="5">
        <v>1000905</v>
      </c>
      <c r="D339" s="5" t="str">
        <f>VLOOKUP(C339,Sheet2!A:C,3,0)</f>
        <v>Bandar Ali AlSudairi Trading Est</v>
      </c>
    </row>
    <row r="340" spans="1:4" x14ac:dyDescent="0.3">
      <c r="A340" s="3">
        <v>1001021</v>
      </c>
      <c r="B340" s="3" t="s">
        <v>113</v>
      </c>
      <c r="C340" s="5">
        <v>1000905</v>
      </c>
      <c r="D340" s="5" t="str">
        <f>VLOOKUP(C340,Sheet2!A:C,3,0)</f>
        <v>Bandar Ali AlSudairi Trading Est</v>
      </c>
    </row>
    <row r="341" spans="1:4" x14ac:dyDescent="0.3">
      <c r="A341" s="3">
        <v>3000429</v>
      </c>
      <c r="B341" s="3" t="s">
        <v>237</v>
      </c>
      <c r="C341" s="5">
        <v>3000429</v>
      </c>
      <c r="D341" s="5" t="str">
        <f>VLOOKUP(C341,Sheet2!A:C,3,0)</f>
        <v>Ayman Ahmed Ali Al-Jarafi</v>
      </c>
    </row>
    <row r="342" spans="1:4" x14ac:dyDescent="0.3">
      <c r="A342" s="3">
        <v>3000445</v>
      </c>
      <c r="B342" s="3" t="s">
        <v>237</v>
      </c>
      <c r="C342" s="5">
        <v>3000429</v>
      </c>
      <c r="D342" s="5" t="str">
        <f>VLOOKUP(C342,Sheet2!A:C,3,0)</f>
        <v>Ayman Ahmed Ali Al-Jarafi</v>
      </c>
    </row>
    <row r="343" spans="1:4" x14ac:dyDescent="0.3">
      <c r="A343" s="3">
        <v>2000535</v>
      </c>
      <c r="B343" s="3" t="s">
        <v>151</v>
      </c>
      <c r="C343" s="5">
        <v>2000535</v>
      </c>
      <c r="D343" s="5" t="str">
        <f>VLOOKUP(C343,Sheet2!A:C,3,0)</f>
        <v>Ayaz Trading Company Limited</v>
      </c>
    </row>
    <row r="344" spans="1:4" x14ac:dyDescent="0.3">
      <c r="A344" s="3">
        <v>1000991</v>
      </c>
      <c r="B344" s="3" t="s">
        <v>108</v>
      </c>
      <c r="C344" s="5">
        <v>1000991</v>
      </c>
      <c r="D344" s="5" t="str">
        <f>VLOOKUP(C344,Sheet2!A:C,3,0)</f>
        <v>Ashwered Air Conditioning Est</v>
      </c>
    </row>
    <row r="345" spans="1:4" x14ac:dyDescent="0.3">
      <c r="A345" s="3">
        <v>1000871</v>
      </c>
      <c r="B345" s="3" t="s">
        <v>65</v>
      </c>
      <c r="C345" s="5">
        <v>1000872</v>
      </c>
      <c r="D345" s="5" t="str">
        <f>VLOOKUP(C345,Sheet2!A:C,3,0)</f>
        <v>ASHKAAL TRADING EST</v>
      </c>
    </row>
    <row r="346" spans="1:4" x14ac:dyDescent="0.3">
      <c r="A346" s="3">
        <v>1000872</v>
      </c>
      <c r="B346" s="3" t="s">
        <v>65</v>
      </c>
      <c r="C346" s="5">
        <v>1000872</v>
      </c>
      <c r="D346" s="5" t="str">
        <f>VLOOKUP(C346,Sheet2!A:C,3,0)</f>
        <v>ASHKAAL TRADING EST</v>
      </c>
    </row>
    <row r="347" spans="1:4" x14ac:dyDescent="0.3">
      <c r="A347" s="3">
        <v>2000524</v>
      </c>
      <c r="B347" s="3" t="s">
        <v>144</v>
      </c>
      <c r="C347" s="5">
        <v>2000524</v>
      </c>
      <c r="D347" s="5" t="str">
        <f>VLOOKUP(C347,Sheet2!A:C,3,0)</f>
        <v>Asad Company Limited</v>
      </c>
    </row>
    <row r="348" spans="1:4" x14ac:dyDescent="0.3">
      <c r="A348" s="3">
        <v>2000550</v>
      </c>
      <c r="B348" s="3" t="s">
        <v>144</v>
      </c>
      <c r="C348" s="5">
        <v>2000524</v>
      </c>
      <c r="D348" s="5" t="str">
        <f>VLOOKUP(C348,Sheet2!A:C,3,0)</f>
        <v>Asad Company Limited</v>
      </c>
    </row>
    <row r="349" spans="1:4" x14ac:dyDescent="0.3">
      <c r="A349" s="3">
        <v>2000626</v>
      </c>
      <c r="B349" s="3" t="s">
        <v>144</v>
      </c>
      <c r="C349" s="5">
        <v>2000524</v>
      </c>
      <c r="D349" s="5" t="str">
        <f>VLOOKUP(C349,Sheet2!A:C,3,0)</f>
        <v>Asad Company Limited</v>
      </c>
    </row>
    <row r="350" spans="1:4" x14ac:dyDescent="0.3">
      <c r="A350" s="3">
        <v>2000611</v>
      </c>
      <c r="B350" s="3" t="s">
        <v>180</v>
      </c>
      <c r="C350" s="5">
        <v>2000611</v>
      </c>
      <c r="D350" s="5" t="str">
        <f>VLOOKUP(C350,Sheet2!A:C,3,0)</f>
        <v>Artal Arabia Limited Company</v>
      </c>
    </row>
    <row r="351" spans="1:4" x14ac:dyDescent="0.3">
      <c r="A351" s="3">
        <v>2000640</v>
      </c>
      <c r="B351" s="3" t="s">
        <v>194</v>
      </c>
      <c r="C351" s="5">
        <v>2000611</v>
      </c>
      <c r="D351" s="5" t="str">
        <f>VLOOKUP(C351,Sheet2!A:C,3,0)</f>
        <v>Artal Arabia Limited Company</v>
      </c>
    </row>
    <row r="352" spans="1:4" x14ac:dyDescent="0.3">
      <c r="A352" s="3">
        <v>2000690</v>
      </c>
      <c r="B352" s="3" t="s">
        <v>194</v>
      </c>
      <c r="C352" s="5">
        <v>2000611</v>
      </c>
      <c r="D352" s="5" t="str">
        <f>VLOOKUP(C352,Sheet2!A:C,3,0)</f>
        <v>Artal Arabia Limited Company</v>
      </c>
    </row>
    <row r="353" spans="1:4" x14ac:dyDescent="0.3">
      <c r="A353" s="3">
        <v>2000692</v>
      </c>
      <c r="B353" s="3" t="s">
        <v>194</v>
      </c>
      <c r="C353" s="5">
        <v>2000611</v>
      </c>
      <c r="D353" s="5" t="str">
        <f>VLOOKUP(C353,Sheet2!A:C,3,0)</f>
        <v>Artal Arabia Limited Company</v>
      </c>
    </row>
    <row r="354" spans="1:4" x14ac:dyDescent="0.3">
      <c r="A354" s="3">
        <v>7000035</v>
      </c>
      <c r="B354" s="3" t="s">
        <v>291</v>
      </c>
      <c r="C354" s="5">
        <v>7000035</v>
      </c>
      <c r="D354" s="5" t="str">
        <f>VLOOKUP(C354,Sheet2!A:C,3,0)</f>
        <v>Arcelik Hitachi Home Appliances</v>
      </c>
    </row>
    <row r="355" spans="1:4" x14ac:dyDescent="0.3">
      <c r="A355" s="3">
        <v>7000038</v>
      </c>
      <c r="B355" s="3" t="s">
        <v>294</v>
      </c>
      <c r="C355" s="5">
        <v>7000026</v>
      </c>
      <c r="D355" s="5" t="str">
        <f>VLOOKUP(C355,Sheet2!A:C,3,0)</f>
        <v>Animation International FZ LLC DMCC</v>
      </c>
    </row>
    <row r="356" spans="1:4" x14ac:dyDescent="0.3">
      <c r="A356" s="3">
        <v>2000002</v>
      </c>
      <c r="B356" s="3" t="s">
        <v>121</v>
      </c>
      <c r="C356" s="5">
        <v>2000002</v>
      </c>
      <c r="D356" s="5" t="str">
        <f>VLOOKUP(C356,Sheet2!A:C,3,0)</f>
        <v>Al-Sairafi.Est.</v>
      </c>
    </row>
    <row r="357" spans="1:4" x14ac:dyDescent="0.3">
      <c r="A357" s="3">
        <v>1000852</v>
      </c>
      <c r="B357" s="3" t="s">
        <v>59</v>
      </c>
      <c r="C357" s="5">
        <v>1000852</v>
      </c>
      <c r="D357" s="5" t="str">
        <f>VLOOKUP(C357,Sheet2!A:C,3,0)</f>
        <v>AlNukhbah Home Appliances Est</v>
      </c>
    </row>
    <row r="358" spans="1:4" x14ac:dyDescent="0.3">
      <c r="A358" s="3">
        <v>1000910</v>
      </c>
      <c r="B358" s="3" t="s">
        <v>78</v>
      </c>
      <c r="C358" s="5">
        <v>1000852</v>
      </c>
      <c r="D358" s="5" t="str">
        <f>VLOOKUP(C358,Sheet2!A:C,3,0)</f>
        <v>AlNukhbah Home Appliances Est</v>
      </c>
    </row>
    <row r="359" spans="1:4" x14ac:dyDescent="0.3">
      <c r="A359" s="3">
        <v>2000151</v>
      </c>
      <c r="B359" s="3" t="s">
        <v>125</v>
      </c>
      <c r="C359" s="5">
        <v>2000151</v>
      </c>
      <c r="D359" s="5" t="str">
        <f>VLOOKUP(C359,Sheet2!A:C,3,0)</f>
        <v>Al-Nagham Al-Ranan Est</v>
      </c>
    </row>
    <row r="360" spans="1:4" x14ac:dyDescent="0.3">
      <c r="A360" s="3">
        <v>1000443</v>
      </c>
      <c r="B360" s="3" t="s">
        <v>12</v>
      </c>
      <c r="C360" s="5">
        <v>1000443</v>
      </c>
      <c r="D360" s="5" t="str">
        <f>VLOOKUP(C360,Sheet2!A:C,3,0)</f>
        <v>Al-Matajer  Ltd (Virgin  HO )</v>
      </c>
    </row>
    <row r="361" spans="1:4" x14ac:dyDescent="0.3">
      <c r="A361" s="3">
        <v>1000471</v>
      </c>
      <c r="B361" s="3" t="s">
        <v>14</v>
      </c>
      <c r="C361" s="5">
        <v>1000471</v>
      </c>
      <c r="D361" s="5" t="str">
        <f>VLOOKUP(C361,Sheet2!A:C,3,0)</f>
        <v>AlManea Co, Ltd</v>
      </c>
    </row>
    <row r="362" spans="1:4" x14ac:dyDescent="0.3">
      <c r="A362" s="3">
        <v>1000696</v>
      </c>
      <c r="B362" s="3" t="s">
        <v>14</v>
      </c>
      <c r="C362" s="5">
        <v>1000471</v>
      </c>
      <c r="D362" s="5" t="str">
        <f>VLOOKUP(C362,Sheet2!A:C,3,0)</f>
        <v>AlManea Co, Ltd</v>
      </c>
    </row>
    <row r="363" spans="1:4" x14ac:dyDescent="0.3">
      <c r="A363" s="3">
        <v>1000917</v>
      </c>
      <c r="B363" s="3" t="s">
        <v>83</v>
      </c>
      <c r="C363" s="5">
        <v>1000471</v>
      </c>
      <c r="D363" s="5" t="str">
        <f>VLOOKUP(C363,Sheet2!A:C,3,0)</f>
        <v>AlManea Co, Ltd</v>
      </c>
    </row>
    <row r="364" spans="1:4" x14ac:dyDescent="0.3">
      <c r="A364" s="3">
        <v>1000930</v>
      </c>
      <c r="B364" s="3" t="s">
        <v>83</v>
      </c>
      <c r="C364" s="5">
        <v>1000471</v>
      </c>
      <c r="D364" s="5" t="str">
        <f>VLOOKUP(C364,Sheet2!A:C,3,0)</f>
        <v>AlManea Co, Ltd</v>
      </c>
    </row>
    <row r="365" spans="1:4" x14ac:dyDescent="0.3">
      <c r="A365" s="3">
        <v>2000172</v>
      </c>
      <c r="B365" s="3" t="s">
        <v>126</v>
      </c>
      <c r="C365" s="5">
        <v>2000172</v>
      </c>
      <c r="D365" s="5" t="str">
        <f>VLOOKUP(C365,Sheet2!A:C,3,0)</f>
        <v>Alireza Trading Company</v>
      </c>
    </row>
    <row r="366" spans="1:4" x14ac:dyDescent="0.3">
      <c r="A366" s="3">
        <v>1000830</v>
      </c>
      <c r="B366" s="3" t="s">
        <v>53</v>
      </c>
      <c r="C366" s="5">
        <v>1000830</v>
      </c>
      <c r="D366" s="5" t="str">
        <f>VLOOKUP(C366,Sheet2!A:C,3,0)</f>
        <v>Alinthalaq Trading Establishment</v>
      </c>
    </row>
    <row r="367" spans="1:4" x14ac:dyDescent="0.3">
      <c r="A367" s="3">
        <v>1000848</v>
      </c>
      <c r="B367" s="3" t="s">
        <v>53</v>
      </c>
      <c r="C367" s="5">
        <v>1000830</v>
      </c>
      <c r="D367" s="5" t="str">
        <f>VLOOKUP(C367,Sheet2!A:C,3,0)</f>
        <v>Alinthalaq Trading Establishment</v>
      </c>
    </row>
    <row r="368" spans="1:4" x14ac:dyDescent="0.3">
      <c r="A368" s="3">
        <v>3000080</v>
      </c>
      <c r="B368" s="3" t="s">
        <v>221</v>
      </c>
      <c r="C368" s="5">
        <v>3000080</v>
      </c>
      <c r="D368" s="5" t="str">
        <f>VLOOKUP(C368,Sheet2!A:C,3,0)</f>
        <v>Al-Ilaiw Trading Co</v>
      </c>
    </row>
    <row r="369" spans="1:4" x14ac:dyDescent="0.3">
      <c r="A369" s="3">
        <v>2000604</v>
      </c>
      <c r="B369" s="3" t="s">
        <v>176</v>
      </c>
      <c r="C369" s="5">
        <v>2000604</v>
      </c>
      <c r="D369" s="5" t="str">
        <f>VLOOKUP(C369,Sheet2!A:C,3,0)</f>
        <v>Ali Muhammad Al Mayouf Al</v>
      </c>
    </row>
    <row r="370" spans="1:4" x14ac:dyDescent="0.3">
      <c r="A370" s="3">
        <v>2000646</v>
      </c>
      <c r="B370" s="3" t="s">
        <v>196</v>
      </c>
      <c r="C370" s="5">
        <v>2000604</v>
      </c>
      <c r="D370" s="5" t="str">
        <f>VLOOKUP(C370,Sheet2!A:C,3,0)</f>
        <v>Ali Muhammad Al Mayouf Al</v>
      </c>
    </row>
    <row r="371" spans="1:4" x14ac:dyDescent="0.3">
      <c r="A371" s="3">
        <v>2000705</v>
      </c>
      <c r="B371" s="3" t="s">
        <v>206</v>
      </c>
      <c r="C371" s="5">
        <v>2000604</v>
      </c>
      <c r="D371" s="5" t="str">
        <f>VLOOKUP(C371,Sheet2!A:C,3,0)</f>
        <v>Ali Muhammad Al Mayouf Al</v>
      </c>
    </row>
    <row r="372" spans="1:4" x14ac:dyDescent="0.3">
      <c r="A372" s="3">
        <v>3000083</v>
      </c>
      <c r="B372" s="3" t="s">
        <v>222</v>
      </c>
      <c r="C372" s="5">
        <v>3000083</v>
      </c>
      <c r="D372" s="5" t="str">
        <f>VLOOKUP(C372,Sheet2!A:C,3,0)</f>
        <v>Al-Haddad Trading Store</v>
      </c>
    </row>
    <row r="373" spans="1:4" x14ac:dyDescent="0.3">
      <c r="A373" s="3">
        <v>1400001700</v>
      </c>
      <c r="B373" s="3" t="s">
        <v>296</v>
      </c>
      <c r="C373" s="5">
        <v>1400001700</v>
      </c>
      <c r="D373" s="5" t="str">
        <f>VLOOKUP(C373,Sheet2!A:C,3,0)</f>
        <v>Alfa Co.</v>
      </c>
    </row>
    <row r="374" spans="1:4" x14ac:dyDescent="0.3">
      <c r="A374" s="3">
        <v>2000519</v>
      </c>
      <c r="B374" s="3" t="s">
        <v>141</v>
      </c>
      <c r="C374" s="5">
        <v>2000519</v>
      </c>
      <c r="D374" s="5" t="str">
        <f>VLOOKUP(C374,Sheet2!A:C,3,0)</f>
        <v>Albait Alshaml for Trading Est.</v>
      </c>
    </row>
    <row r="375" spans="1:4" x14ac:dyDescent="0.3">
      <c r="A375" s="3">
        <v>3000443</v>
      </c>
      <c r="B375" s="3" t="s">
        <v>245</v>
      </c>
      <c r="C375" s="5">
        <v>3000443</v>
      </c>
      <c r="D375" s="5" t="str">
        <f>VLOOKUP(C375,Sheet2!A:C,3,0)</f>
        <v>AlAmakin Group of Companies Ltd.</v>
      </c>
    </row>
    <row r="376" spans="1:4" x14ac:dyDescent="0.3">
      <c r="A376" s="3">
        <v>3000448</v>
      </c>
      <c r="B376" s="3" t="s">
        <v>245</v>
      </c>
      <c r="C376" s="5">
        <v>3000443</v>
      </c>
      <c r="D376" s="5" t="str">
        <f>VLOOKUP(C376,Sheet2!A:C,3,0)</f>
        <v>AlAmakin Group of Companies Ltd.</v>
      </c>
    </row>
    <row r="377" spans="1:4" x14ac:dyDescent="0.3">
      <c r="A377" s="3">
        <v>2000527</v>
      </c>
      <c r="B377" s="3" t="s">
        <v>146</v>
      </c>
      <c r="C377" s="5">
        <v>2000527</v>
      </c>
      <c r="D377" s="5" t="str">
        <f>VLOOKUP(C377,Sheet2!A:C,3,0)</f>
        <v>Al'afdal Modern Trading Company</v>
      </c>
    </row>
    <row r="378" spans="1:4" x14ac:dyDescent="0.3">
      <c r="A378" s="3">
        <v>2000547</v>
      </c>
      <c r="B378" s="3" t="s">
        <v>146</v>
      </c>
      <c r="C378" s="5">
        <v>2000527</v>
      </c>
      <c r="D378" s="5" t="str">
        <f>VLOOKUP(C378,Sheet2!A:C,3,0)</f>
        <v>Al'afdal Modern Trading Company</v>
      </c>
    </row>
    <row r="379" spans="1:4" x14ac:dyDescent="0.3">
      <c r="A379" s="3">
        <v>2000631</v>
      </c>
      <c r="B379" s="3" t="s">
        <v>191</v>
      </c>
      <c r="C379" s="5">
        <v>2000631</v>
      </c>
      <c r="D379" s="5" t="str">
        <f>VLOOKUP(C379,Sheet2!A:C,3,0)</f>
        <v>Alaa Abdullah Abdul Wahid Al Ghamdi</v>
      </c>
    </row>
    <row r="380" spans="1:4" x14ac:dyDescent="0.3">
      <c r="A380" s="3">
        <v>2000751</v>
      </c>
      <c r="B380" s="3" t="s">
        <v>191</v>
      </c>
      <c r="C380" s="5">
        <v>2000631</v>
      </c>
      <c r="D380" s="5" t="str">
        <f>VLOOKUP(C380,Sheet2!A:C,3,0)</f>
        <v>Alaa Abdullah Abdul Wahid Al Ghamdi</v>
      </c>
    </row>
    <row r="381" spans="1:4" x14ac:dyDescent="0.3">
      <c r="A381" s="3">
        <v>2000606</v>
      </c>
      <c r="B381" s="3" t="s">
        <v>177</v>
      </c>
      <c r="C381" s="5">
        <v>2000606</v>
      </c>
      <c r="D381" s="5" t="str">
        <f>VLOOKUP(C381,Sheet2!A:C,3,0)</f>
        <v>Al Wefaq Platinum Limited Company</v>
      </c>
    </row>
    <row r="382" spans="1:4" x14ac:dyDescent="0.3">
      <c r="A382" s="3">
        <v>2000623</v>
      </c>
      <c r="B382" s="3" t="s">
        <v>177</v>
      </c>
      <c r="C382" s="5">
        <v>2000606</v>
      </c>
      <c r="D382" s="5" t="str">
        <f>VLOOKUP(C382,Sheet2!A:C,3,0)</f>
        <v>Al Wefaq Platinum Limited Company</v>
      </c>
    </row>
    <row r="383" spans="1:4" x14ac:dyDescent="0.3">
      <c r="A383" s="3">
        <v>2000759</v>
      </c>
      <c r="B383" s="3" t="s">
        <v>177</v>
      </c>
      <c r="C383" s="5">
        <v>2000606</v>
      </c>
      <c r="D383" s="5" t="str">
        <f>VLOOKUP(C383,Sheet2!A:C,3,0)</f>
        <v>Al Wefaq Platinum Limited Company</v>
      </c>
    </row>
    <row r="384" spans="1:4" x14ac:dyDescent="0.3">
      <c r="A384" s="3">
        <v>2000753</v>
      </c>
      <c r="B384" s="3" t="s">
        <v>214</v>
      </c>
      <c r="C384" s="5">
        <v>2000755</v>
      </c>
      <c r="D384" s="5" t="str">
        <f>VLOOKUP(C384,Sheet2!A:C,3,0)</f>
        <v>Al Wakeel General Trading Company</v>
      </c>
    </row>
    <row r="385" spans="1:4" x14ac:dyDescent="0.3">
      <c r="A385" s="3">
        <v>2000755</v>
      </c>
      <c r="B385" s="3" t="s">
        <v>214</v>
      </c>
      <c r="C385" s="5">
        <v>2000755</v>
      </c>
      <c r="D385" s="5" t="str">
        <f>VLOOKUP(C385,Sheet2!A:C,3,0)</f>
        <v>Al Wakeel General Trading Company</v>
      </c>
    </row>
    <row r="386" spans="1:4" x14ac:dyDescent="0.3">
      <c r="A386" s="3">
        <v>1001001</v>
      </c>
      <c r="B386" s="3" t="s">
        <v>111</v>
      </c>
      <c r="C386" s="5">
        <v>1001001</v>
      </c>
      <c r="D386" s="5" t="str">
        <f>VLOOKUP(C386,Sheet2!A:C,3,0)</f>
        <v>AL SARIYAH AL HADITHA For Trading C</v>
      </c>
    </row>
    <row r="387" spans="1:4" x14ac:dyDescent="0.3">
      <c r="A387" s="3">
        <v>1001002</v>
      </c>
      <c r="B387" s="3" t="s">
        <v>112</v>
      </c>
      <c r="C387" s="5">
        <v>1001001</v>
      </c>
      <c r="D387" s="5" t="str">
        <f>VLOOKUP(C387,Sheet2!A:C,3,0)</f>
        <v>AL SARIYAH AL HADITHA For Trading C</v>
      </c>
    </row>
    <row r="388" spans="1:4" x14ac:dyDescent="0.3">
      <c r="A388" s="3">
        <v>1001006</v>
      </c>
      <c r="B388" s="3" t="s">
        <v>111</v>
      </c>
      <c r="C388" s="5">
        <v>1001001</v>
      </c>
      <c r="D388" s="5" t="str">
        <f>VLOOKUP(C388,Sheet2!A:C,3,0)</f>
        <v>AL SARIYAH AL HADITHA For Trading C</v>
      </c>
    </row>
    <row r="389" spans="1:4" x14ac:dyDescent="0.3">
      <c r="A389" s="3">
        <v>2000688</v>
      </c>
      <c r="B389" s="3" t="s">
        <v>202</v>
      </c>
      <c r="C389" s="5">
        <v>2000688</v>
      </c>
      <c r="D389" s="5" t="str">
        <f>VLOOKUP(C389,Sheet2!A:C,3,0)</f>
        <v>Al Safwa Plus Electronic Devices Co</v>
      </c>
    </row>
    <row r="390" spans="1:4" x14ac:dyDescent="0.3">
      <c r="A390" s="3">
        <v>2000712</v>
      </c>
      <c r="B390" s="3" t="s">
        <v>202</v>
      </c>
      <c r="C390" s="5">
        <v>2000688</v>
      </c>
      <c r="D390" s="5" t="str">
        <f>VLOOKUP(C390,Sheet2!A:C,3,0)</f>
        <v>Al Safwa Plus Electronic Devices Co</v>
      </c>
    </row>
    <row r="391" spans="1:4" x14ac:dyDescent="0.3">
      <c r="A391" s="3">
        <v>2000742</v>
      </c>
      <c r="B391" s="3" t="s">
        <v>202</v>
      </c>
      <c r="C391" s="5">
        <v>2000688</v>
      </c>
      <c r="D391" s="5" t="str">
        <f>VLOOKUP(C391,Sheet2!A:C,3,0)</f>
        <v>Al Safwa Plus Electronic Devices Co</v>
      </c>
    </row>
    <row r="392" spans="1:4" x14ac:dyDescent="0.3">
      <c r="A392" s="3">
        <v>3000509</v>
      </c>
      <c r="B392" s="3" t="s">
        <v>263</v>
      </c>
      <c r="C392" s="5">
        <v>3000509</v>
      </c>
      <c r="D392" s="5" t="str">
        <f>VLOOKUP(C392,Sheet2!A:C,3,0)</f>
        <v>Al Roya Al Barda for Refrigeration</v>
      </c>
    </row>
    <row r="393" spans="1:4" x14ac:dyDescent="0.3">
      <c r="A393" s="3">
        <v>3000511</v>
      </c>
      <c r="B393" s="3" t="s">
        <v>263</v>
      </c>
      <c r="C393" s="5">
        <v>3000509</v>
      </c>
      <c r="D393" s="5" t="str">
        <f>VLOOKUP(C393,Sheet2!A:C,3,0)</f>
        <v>Al Roya Al Barda for Refrigeration</v>
      </c>
    </row>
    <row r="394" spans="1:4" x14ac:dyDescent="0.3">
      <c r="A394" s="3">
        <v>3000525</v>
      </c>
      <c r="B394" s="3" t="s">
        <v>263</v>
      </c>
      <c r="C394" s="5">
        <v>3000509</v>
      </c>
      <c r="D394" s="5" t="str">
        <f>VLOOKUP(C394,Sheet2!A:C,3,0)</f>
        <v>Al Roya Al Barda for Refrigeration</v>
      </c>
    </row>
    <row r="395" spans="1:4" x14ac:dyDescent="0.3">
      <c r="A395" s="3">
        <v>1000793</v>
      </c>
      <c r="B395" s="3" t="s">
        <v>40</v>
      </c>
      <c r="C395" s="5">
        <v>1000793</v>
      </c>
      <c r="D395" s="5" t="str">
        <f>VLOOKUP(C395,Sheet2!A:C,3,0)</f>
        <v>Al Rowad Electronics Company</v>
      </c>
    </row>
    <row r="396" spans="1:4" x14ac:dyDescent="0.3">
      <c r="A396" s="3">
        <v>1000926</v>
      </c>
      <c r="B396" s="3" t="s">
        <v>40</v>
      </c>
      <c r="C396" s="5">
        <v>1000793</v>
      </c>
      <c r="D396" s="5" t="str">
        <f>VLOOKUP(C396,Sheet2!A:C,3,0)</f>
        <v>Al Rowad Electronics Company</v>
      </c>
    </row>
    <row r="397" spans="1:4" x14ac:dyDescent="0.3">
      <c r="A397" s="3">
        <v>2000593</v>
      </c>
      <c r="B397" s="3" t="s">
        <v>40</v>
      </c>
      <c r="C397" s="5">
        <v>1000793</v>
      </c>
      <c r="D397" s="5" t="str">
        <f>VLOOKUP(C397,Sheet2!A:C,3,0)</f>
        <v>Al Rowad Electronics Company</v>
      </c>
    </row>
    <row r="398" spans="1:4" x14ac:dyDescent="0.3">
      <c r="A398" s="3">
        <v>2000614</v>
      </c>
      <c r="B398" s="3" t="s">
        <v>182</v>
      </c>
      <c r="C398" s="5">
        <v>2000614</v>
      </c>
      <c r="D398" s="5" t="str">
        <f>VLOOKUP(C398,Sheet2!A:C,3,0)</f>
        <v>Al Rowad Al Mumayaz Home</v>
      </c>
    </row>
    <row r="399" spans="1:4" x14ac:dyDescent="0.3">
      <c r="A399" s="3">
        <v>2000597</v>
      </c>
      <c r="B399" s="3" t="s">
        <v>174</v>
      </c>
      <c r="C399" s="5">
        <v>2000597</v>
      </c>
      <c r="D399" s="5" t="str">
        <f>VLOOKUP(C399,Sheet2!A:C,3,0)</f>
        <v>Al Raed Co for Home Appliances</v>
      </c>
    </row>
    <row r="400" spans="1:4" x14ac:dyDescent="0.3">
      <c r="A400" s="3">
        <v>1000795</v>
      </c>
      <c r="B400" s="3" t="s">
        <v>41</v>
      </c>
      <c r="C400" s="5">
        <v>1000795</v>
      </c>
      <c r="D400" s="5" t="str">
        <f>VLOOKUP(C400,Sheet2!A:C,3,0)</f>
        <v>Al Rabee &amp; Al Saif Trading Company</v>
      </c>
    </row>
    <row r="401" spans="1:4" x14ac:dyDescent="0.3">
      <c r="A401" s="3">
        <v>1000832</v>
      </c>
      <c r="B401" s="3" t="s">
        <v>41</v>
      </c>
      <c r="C401" s="5">
        <v>1000795</v>
      </c>
      <c r="D401" s="5" t="str">
        <f>VLOOKUP(C401,Sheet2!A:C,3,0)</f>
        <v>Al Rabee &amp; Al Saif Trading Company</v>
      </c>
    </row>
    <row r="402" spans="1:4" x14ac:dyDescent="0.3">
      <c r="A402" s="3">
        <v>1000907</v>
      </c>
      <c r="B402" s="3" t="s">
        <v>76</v>
      </c>
      <c r="C402" s="5">
        <v>1000795</v>
      </c>
      <c r="D402" s="5" t="str">
        <f>VLOOKUP(C402,Sheet2!A:C,3,0)</f>
        <v>Al Rabee &amp; Al Saif Trading Company</v>
      </c>
    </row>
    <row r="403" spans="1:4" x14ac:dyDescent="0.3">
      <c r="A403" s="3">
        <v>7000036</v>
      </c>
      <c r="B403" s="3" t="s">
        <v>292</v>
      </c>
      <c r="C403" s="5">
        <v>7000036</v>
      </c>
      <c r="D403" s="5" t="str">
        <f>VLOOKUP(C403,Sheet2!A:C,3,0)</f>
        <v>Al Qadi Pharmacy &amp; Establishment LLC</v>
      </c>
    </row>
    <row r="404" spans="1:4" x14ac:dyDescent="0.3">
      <c r="A404" s="3">
        <v>3000439</v>
      </c>
      <c r="B404" s="3" t="s">
        <v>243</v>
      </c>
      <c r="C404" s="5">
        <v>3000439</v>
      </c>
      <c r="D404" s="5" t="str">
        <f>VLOOKUP(C404,Sheet2!A:C,3,0)</f>
        <v>Al Othman Trading Limited Liability</v>
      </c>
    </row>
    <row r="405" spans="1:4" x14ac:dyDescent="0.3">
      <c r="A405" s="3">
        <v>3000452</v>
      </c>
      <c r="B405" s="3" t="s">
        <v>243</v>
      </c>
      <c r="C405" s="5">
        <v>3000439</v>
      </c>
      <c r="D405" s="5" t="str">
        <f>VLOOKUP(C405,Sheet2!A:C,3,0)</f>
        <v>Al Othman Trading Limited Liability</v>
      </c>
    </row>
    <row r="406" spans="1:4" x14ac:dyDescent="0.3">
      <c r="A406" s="3">
        <v>3000477</v>
      </c>
      <c r="B406" s="3" t="s">
        <v>257</v>
      </c>
      <c r="C406" s="5">
        <v>3000439</v>
      </c>
      <c r="D406" s="5" t="str">
        <f>VLOOKUP(C406,Sheet2!A:C,3,0)</f>
        <v>Al Othman Trading Limited Liability</v>
      </c>
    </row>
    <row r="407" spans="1:4" x14ac:dyDescent="0.3">
      <c r="A407" s="3">
        <v>3000499</v>
      </c>
      <c r="B407" s="3" t="s">
        <v>257</v>
      </c>
      <c r="C407" s="5">
        <v>3000439</v>
      </c>
      <c r="D407" s="5" t="str">
        <f>VLOOKUP(C407,Sheet2!A:C,3,0)</f>
        <v>Al Othman Trading Limited Liability</v>
      </c>
    </row>
    <row r="408" spans="1:4" x14ac:dyDescent="0.3">
      <c r="A408" s="3">
        <v>2000620</v>
      </c>
      <c r="B408" s="3" t="s">
        <v>185</v>
      </c>
      <c r="C408" s="5">
        <v>2000511</v>
      </c>
      <c r="D408" s="5" t="str">
        <f>VLOOKUP(C408,Sheet2!A:C,3,0)</f>
        <v>Al Ofoq Al Mumayaz Home Appliances</v>
      </c>
    </row>
    <row r="409" spans="1:4" x14ac:dyDescent="0.3">
      <c r="A409" s="3">
        <v>2000721</v>
      </c>
      <c r="B409" s="3" t="s">
        <v>208</v>
      </c>
      <c r="C409" s="5">
        <v>2000511</v>
      </c>
      <c r="D409" s="5" t="str">
        <f>VLOOKUP(C409,Sheet2!A:C,3,0)</f>
        <v>Al Ofoq Al Mumayaz Home Appliances</v>
      </c>
    </row>
    <row r="410" spans="1:4" x14ac:dyDescent="0.3">
      <c r="A410" s="3">
        <v>3000458</v>
      </c>
      <c r="B410" s="3" t="s">
        <v>249</v>
      </c>
      <c r="C410" s="5">
        <v>3000458</v>
      </c>
      <c r="D410" s="5" t="str">
        <f>VLOOKUP(C410,Sheet2!A:C,3,0)</f>
        <v>AL MOTAWA TRADING COMPANY</v>
      </c>
    </row>
    <row r="411" spans="1:4" x14ac:dyDescent="0.3">
      <c r="A411" s="3">
        <v>3000461</v>
      </c>
      <c r="B411" s="3" t="s">
        <v>249</v>
      </c>
      <c r="C411" s="5">
        <v>3000458</v>
      </c>
      <c r="D411" s="5" t="str">
        <f>VLOOKUP(C411,Sheet2!A:C,3,0)</f>
        <v>AL MOTAWA TRADING COMPANY</v>
      </c>
    </row>
    <row r="412" spans="1:4" x14ac:dyDescent="0.3">
      <c r="A412" s="3">
        <v>3000471</v>
      </c>
      <c r="B412" s="3" t="s">
        <v>256</v>
      </c>
      <c r="C412" s="5">
        <v>3000472</v>
      </c>
      <c r="D412" s="5" t="str">
        <f>VLOOKUP(C412,Sheet2!A:C,3,0)</f>
        <v>Al Motamakin Trading Est</v>
      </c>
    </row>
    <row r="413" spans="1:4" x14ac:dyDescent="0.3">
      <c r="A413" s="3">
        <v>3000472</v>
      </c>
      <c r="B413" s="3" t="s">
        <v>256</v>
      </c>
      <c r="C413" s="5">
        <v>3000472</v>
      </c>
      <c r="D413" s="5" t="str">
        <f>VLOOKUP(C413,Sheet2!A:C,3,0)</f>
        <v>Al Motamakin Trading Est</v>
      </c>
    </row>
    <row r="414" spans="1:4" x14ac:dyDescent="0.3">
      <c r="A414" s="3">
        <v>3000473</v>
      </c>
      <c r="B414" s="3" t="s">
        <v>256</v>
      </c>
      <c r="C414" s="5">
        <v>3000472</v>
      </c>
      <c r="D414" s="5" t="str">
        <f>VLOOKUP(C414,Sheet2!A:C,3,0)</f>
        <v>Al Motamakin Trading Est</v>
      </c>
    </row>
    <row r="415" spans="1:4" x14ac:dyDescent="0.3">
      <c r="A415" s="3">
        <v>5000036</v>
      </c>
      <c r="B415" s="3" t="s">
        <v>273</v>
      </c>
      <c r="C415" s="5">
        <v>5000036</v>
      </c>
      <c r="D415" s="5" t="str">
        <f>VLOOKUP(C415,Sheet2!A:C,3,0)</f>
        <v>Al Mogamsi Trading Est.</v>
      </c>
    </row>
    <row r="416" spans="1:4" x14ac:dyDescent="0.3">
      <c r="A416" s="3">
        <v>2000543</v>
      </c>
      <c r="B416" s="3" t="s">
        <v>155</v>
      </c>
      <c r="C416" s="5">
        <v>2000543</v>
      </c>
      <c r="D416" s="5" t="str">
        <f>VLOOKUP(C416,Sheet2!A:C,3,0)</f>
        <v>Al Maslahi Trading Company</v>
      </c>
    </row>
    <row r="417" spans="1:4" x14ac:dyDescent="0.3">
      <c r="A417" s="3">
        <v>2000568</v>
      </c>
      <c r="B417" s="3" t="s">
        <v>155</v>
      </c>
      <c r="C417" s="5">
        <v>2000543</v>
      </c>
      <c r="D417" s="5" t="str">
        <f>VLOOKUP(C417,Sheet2!A:C,3,0)</f>
        <v>Al Maslahi Trading Company</v>
      </c>
    </row>
    <row r="418" spans="1:4" x14ac:dyDescent="0.3">
      <c r="A418" s="3">
        <v>2000601</v>
      </c>
      <c r="B418" s="3" t="s">
        <v>155</v>
      </c>
      <c r="C418" s="5">
        <v>2000543</v>
      </c>
      <c r="D418" s="5" t="str">
        <f>VLOOKUP(C418,Sheet2!A:C,3,0)</f>
        <v>Al Maslahi Trading Company</v>
      </c>
    </row>
    <row r="419" spans="1:4" x14ac:dyDescent="0.3">
      <c r="A419" s="3">
        <v>2000558</v>
      </c>
      <c r="B419" s="3" t="s">
        <v>161</v>
      </c>
      <c r="C419" s="5">
        <v>2000558</v>
      </c>
      <c r="D419" s="5" t="str">
        <f>VLOOKUP(C419,Sheet2!A:C,3,0)</f>
        <v>Al Masa Mall Company for</v>
      </c>
    </row>
    <row r="420" spans="1:4" x14ac:dyDescent="0.3">
      <c r="A420" s="3">
        <v>2000563</v>
      </c>
      <c r="B420" s="3" t="s">
        <v>161</v>
      </c>
      <c r="C420" s="5">
        <v>2000558</v>
      </c>
      <c r="D420" s="5" t="str">
        <f>VLOOKUP(C420,Sheet2!A:C,3,0)</f>
        <v>Al Masa Mall Company for</v>
      </c>
    </row>
    <row r="421" spans="1:4" x14ac:dyDescent="0.3">
      <c r="A421" s="3">
        <v>2000682</v>
      </c>
      <c r="B421" s="3" t="s">
        <v>161</v>
      </c>
      <c r="C421" s="5">
        <v>2000558</v>
      </c>
      <c r="D421" s="5" t="str">
        <f>VLOOKUP(C421,Sheet2!A:C,3,0)</f>
        <v>Al Masa Mall Company for</v>
      </c>
    </row>
    <row r="422" spans="1:4" x14ac:dyDescent="0.3">
      <c r="A422" s="3">
        <v>2000762</v>
      </c>
      <c r="B422" s="3" t="s">
        <v>216</v>
      </c>
      <c r="C422" s="5">
        <v>2000558</v>
      </c>
      <c r="D422" s="5" t="str">
        <f>VLOOKUP(C422,Sheet2!A:C,3,0)</f>
        <v>Al Masa Mall Company for</v>
      </c>
    </row>
    <row r="423" spans="1:4" x14ac:dyDescent="0.3">
      <c r="A423" s="3">
        <v>1000912</v>
      </c>
      <c r="B423" s="3" t="s">
        <v>80</v>
      </c>
      <c r="C423" s="5">
        <v>1000912</v>
      </c>
      <c r="D423" s="5" t="str">
        <f>VLOOKUP(C423,Sheet2!A:C,3,0)</f>
        <v>Al Khunaizan Trading Company</v>
      </c>
    </row>
    <row r="424" spans="1:4" x14ac:dyDescent="0.3">
      <c r="A424" s="3">
        <v>1000808</v>
      </c>
      <c r="B424" s="3" t="s">
        <v>47</v>
      </c>
      <c r="C424" s="5">
        <v>1000808</v>
      </c>
      <c r="D424" s="5" t="str">
        <f>VLOOKUP(C424,Sheet2!A:C,3,0)</f>
        <v>Al Jawhara Ibrahim Al Muqbel Tradin</v>
      </c>
    </row>
    <row r="425" spans="1:4" x14ac:dyDescent="0.3">
      <c r="A425" s="3">
        <v>1000894</v>
      </c>
      <c r="B425" s="3" t="s">
        <v>72</v>
      </c>
      <c r="C425" s="5">
        <v>1000808</v>
      </c>
      <c r="D425" s="5" t="str">
        <f>VLOOKUP(C425,Sheet2!A:C,3,0)</f>
        <v>Al Jawhara Ibrahim Al Muqbel Tradin</v>
      </c>
    </row>
    <row r="426" spans="1:4" x14ac:dyDescent="0.3">
      <c r="A426" s="3">
        <v>2000545</v>
      </c>
      <c r="B426" s="3" t="s">
        <v>157</v>
      </c>
      <c r="C426" s="5">
        <v>2000545</v>
      </c>
      <c r="D426" s="5" t="str">
        <f>VLOOKUP(C426,Sheet2!A:C,3,0)</f>
        <v>Al Isthawrah Trading Est.</v>
      </c>
    </row>
    <row r="427" spans="1:4" x14ac:dyDescent="0.3">
      <c r="A427" s="3">
        <v>1400004200</v>
      </c>
      <c r="B427" s="3" t="s">
        <v>298</v>
      </c>
      <c r="C427" s="5">
        <v>1400004200</v>
      </c>
      <c r="D427" s="5" t="str">
        <f>VLOOKUP(C427,Sheet2!A:C,3,0)</f>
        <v>Al Faisalia Group Holding Co.</v>
      </c>
    </row>
    <row r="428" spans="1:4" x14ac:dyDescent="0.3">
      <c r="A428" s="3">
        <v>5000039</v>
      </c>
      <c r="B428" s="3" t="s">
        <v>275</v>
      </c>
      <c r="C428" s="5">
        <v>5000039</v>
      </c>
      <c r="D428" s="5" t="str">
        <f>VLOOKUP(C428,Sheet2!A:C,3,0)</f>
        <v>Al Burkan Maintenance Company</v>
      </c>
    </row>
    <row r="429" spans="1:4" x14ac:dyDescent="0.3">
      <c r="A429" s="3">
        <v>2000758</v>
      </c>
      <c r="B429" s="3" t="s">
        <v>215</v>
      </c>
      <c r="C429" s="5">
        <v>2000758</v>
      </c>
      <c r="D429" s="5" t="str">
        <f>VLOOKUP(C429,Sheet2!A:C,3,0)</f>
        <v>Al Asar Al Naqi Air Conditioning an</v>
      </c>
    </row>
    <row r="430" spans="1:4" x14ac:dyDescent="0.3">
      <c r="A430" s="3">
        <v>2000686</v>
      </c>
      <c r="B430" s="3" t="s">
        <v>201</v>
      </c>
      <c r="C430" s="5">
        <v>2000686</v>
      </c>
      <c r="D430" s="5" t="str">
        <f>VLOOKUP(C430,Sheet2!A:C,3,0)</f>
        <v>Al Ain Al Mamoura Trading Company</v>
      </c>
    </row>
    <row r="431" spans="1:4" x14ac:dyDescent="0.3">
      <c r="A431" s="3">
        <v>3000432</v>
      </c>
      <c r="B431" s="3" t="s">
        <v>239</v>
      </c>
      <c r="C431" s="5">
        <v>3000432</v>
      </c>
      <c r="D431" s="5" t="str">
        <f>VLOOKUP(C431,Sheet2!A:C,3,0)</f>
        <v xml:space="preserve">Ajwa Al Yamamah </v>
      </c>
    </row>
    <row r="432" spans="1:4" x14ac:dyDescent="0.3">
      <c r="A432" s="3">
        <v>3000450</v>
      </c>
      <c r="B432" s="3" t="s">
        <v>247</v>
      </c>
      <c r="C432" s="5">
        <v>3000432</v>
      </c>
      <c r="D432" s="5" t="str">
        <f>VLOOKUP(C432,Sheet2!A:C,3,0)</f>
        <v xml:space="preserve">Ajwa Al Yamamah </v>
      </c>
    </row>
    <row r="433" spans="1:4" x14ac:dyDescent="0.3">
      <c r="A433" s="3">
        <v>3000462</v>
      </c>
      <c r="B433" s="3" t="s">
        <v>239</v>
      </c>
      <c r="C433" s="5">
        <v>3000432</v>
      </c>
      <c r="D433" s="5" t="str">
        <f>VLOOKUP(C433,Sheet2!A:C,3,0)</f>
        <v xml:space="preserve">Ajwa Al Yamamah </v>
      </c>
    </row>
    <row r="434" spans="1:4" x14ac:dyDescent="0.3">
      <c r="A434" s="3">
        <v>3000498</v>
      </c>
      <c r="B434" s="3" t="s">
        <v>261</v>
      </c>
      <c r="C434" s="5">
        <v>3000432</v>
      </c>
      <c r="D434" s="5" t="str">
        <f>VLOOKUP(C434,Sheet2!A:C,3,0)</f>
        <v xml:space="preserve">Ajwa Al Yamamah </v>
      </c>
    </row>
    <row r="435" spans="1:4" x14ac:dyDescent="0.3">
      <c r="A435" s="3">
        <v>3000504</v>
      </c>
      <c r="B435" s="3" t="s">
        <v>261</v>
      </c>
      <c r="C435" s="5">
        <v>3000432</v>
      </c>
      <c r="D435" s="5" t="str">
        <f>VLOOKUP(C435,Sheet2!A:C,3,0)</f>
        <v xml:space="preserve">Ajwa Al Yamamah </v>
      </c>
    </row>
    <row r="436" spans="1:4" x14ac:dyDescent="0.3">
      <c r="A436" s="3">
        <v>2000737</v>
      </c>
      <c r="B436" s="3" t="s">
        <v>211</v>
      </c>
      <c r="C436" s="5">
        <v>2000737</v>
      </c>
      <c r="D436" s="5" t="str">
        <f>VLOOKUP(C436,Sheet2!A:C,3,0)</f>
        <v>Air Technologies Solutions Company</v>
      </c>
    </row>
    <row r="437" spans="1:4" x14ac:dyDescent="0.3">
      <c r="A437" s="3">
        <v>3000421</v>
      </c>
      <c r="B437" s="3" t="s">
        <v>235</v>
      </c>
      <c r="C437" s="5">
        <v>3000421</v>
      </c>
      <c r="D437" s="5" t="str">
        <f>VLOOKUP(C437,Sheet2!A:C,3,0)</f>
        <v>Air Care Company for Air</v>
      </c>
    </row>
    <row r="438" spans="1:4" x14ac:dyDescent="0.3">
      <c r="A438" s="3">
        <v>2000613</v>
      </c>
      <c r="B438" s="3" t="s">
        <v>181</v>
      </c>
      <c r="C438" s="5">
        <v>2000613</v>
      </c>
      <c r="D438" s="5" t="str">
        <f>VLOOKUP(C438,Sheet2!A:C,3,0)</f>
        <v>Ahmed Saeed Ahmed Barboud Home Appl</v>
      </c>
    </row>
    <row r="439" spans="1:4" x14ac:dyDescent="0.3">
      <c r="A439" s="3">
        <v>2000617</v>
      </c>
      <c r="B439" s="3" t="s">
        <v>183</v>
      </c>
      <c r="C439" s="5">
        <v>2000617</v>
      </c>
      <c r="D439" s="5" t="str">
        <f>VLOOKUP(C439,Sheet2!A:C,3,0)</f>
        <v>Ahmed Ibrahim Yahya Shayba Establis</v>
      </c>
    </row>
    <row r="440" spans="1:4" x14ac:dyDescent="0.3">
      <c r="A440" s="3">
        <v>2000707</v>
      </c>
      <c r="B440" s="3" t="s">
        <v>183</v>
      </c>
      <c r="C440" s="5">
        <v>2000617</v>
      </c>
      <c r="D440" s="5" t="str">
        <f>VLOOKUP(C440,Sheet2!A:C,3,0)</f>
        <v>Ahmed Ibrahim Yahya Shayba Establis</v>
      </c>
    </row>
    <row r="441" spans="1:4" x14ac:dyDescent="0.3">
      <c r="A441" s="3">
        <v>2000215</v>
      </c>
      <c r="B441" s="3" t="s">
        <v>127</v>
      </c>
      <c r="C441" s="5">
        <v>2000215</v>
      </c>
      <c r="D441" s="5" t="str">
        <f>VLOOKUP(C441,Sheet2!A:C,3,0)</f>
        <v>AHMED ABDUL WAHED - HO</v>
      </c>
    </row>
    <row r="442" spans="1:4" x14ac:dyDescent="0.3">
      <c r="A442" s="3">
        <v>2000523</v>
      </c>
      <c r="B442" s="3" t="s">
        <v>143</v>
      </c>
      <c r="C442" s="5">
        <v>2000215</v>
      </c>
      <c r="D442" s="5" t="str">
        <f>VLOOKUP(C442,Sheet2!A:C,3,0)</f>
        <v>AHMED ABDUL WAHED - HO</v>
      </c>
    </row>
    <row r="443" spans="1:4" x14ac:dyDescent="0.3">
      <c r="A443" s="3">
        <v>5000034</v>
      </c>
      <c r="B443" s="3" t="s">
        <v>143</v>
      </c>
      <c r="C443" s="5">
        <v>2000215</v>
      </c>
      <c r="D443" s="5" t="str">
        <f>VLOOKUP(C443,Sheet2!A:C,3,0)</f>
        <v>AHMED ABDUL WAHED - HO</v>
      </c>
    </row>
    <row r="444" spans="1:4" x14ac:dyDescent="0.3">
      <c r="A444" s="8">
        <v>1000057</v>
      </c>
      <c r="B444" s="8" t="s">
        <v>2</v>
      </c>
      <c r="C444" s="5">
        <v>1000057</v>
      </c>
      <c r="D444" s="5" t="str">
        <f>VLOOKUP(C444,Sheet2!A:C,3,0)</f>
        <v>AFAQ Q Tech General Trading LLC-Amazon</v>
      </c>
    </row>
    <row r="445" spans="1:4" x14ac:dyDescent="0.3">
      <c r="A445" s="8">
        <v>1000441</v>
      </c>
      <c r="B445" s="8" t="s">
        <v>2</v>
      </c>
      <c r="C445" s="5">
        <v>1000057</v>
      </c>
      <c r="D445" s="5" t="str">
        <f>VLOOKUP(C445,Sheet2!A:C,3,0)</f>
        <v>AFAQ Q Tech General Trading LLC-Amazon</v>
      </c>
    </row>
    <row r="446" spans="1:4" x14ac:dyDescent="0.3">
      <c r="A446" s="8">
        <v>1000792</v>
      </c>
      <c r="B446" s="8" t="s">
        <v>39</v>
      </c>
      <c r="C446" s="5">
        <v>1000057</v>
      </c>
      <c r="D446" s="5" t="str">
        <f>VLOOKUP(C446,Sheet2!A:C,3,0)</f>
        <v>AFAQ Q Tech General Trading LLC-Amazon</v>
      </c>
    </row>
    <row r="447" spans="1:4" x14ac:dyDescent="0.3">
      <c r="A447" s="8">
        <v>1000806</v>
      </c>
      <c r="B447" s="8" t="s">
        <v>2</v>
      </c>
      <c r="C447" s="5">
        <v>1000057</v>
      </c>
      <c r="D447" s="5" t="str">
        <f>VLOOKUP(C447,Sheet2!A:C,3,0)</f>
        <v>AFAQ Q Tech General Trading LLC-Amazon</v>
      </c>
    </row>
    <row r="448" spans="1:4" x14ac:dyDescent="0.3">
      <c r="A448" s="8">
        <v>1000879</v>
      </c>
      <c r="B448" s="8" t="s">
        <v>2</v>
      </c>
      <c r="C448" s="5">
        <v>1000057</v>
      </c>
      <c r="D448" s="5" t="str">
        <f>VLOOKUP(C448,Sheet2!A:C,3,0)</f>
        <v>AFAQ Q Tech General Trading LLC-Amazon</v>
      </c>
    </row>
    <row r="449" spans="1:4" x14ac:dyDescent="0.3">
      <c r="A449" s="8">
        <v>1000883</v>
      </c>
      <c r="B449" s="8" t="s">
        <v>2</v>
      </c>
      <c r="C449" s="5">
        <v>1000057</v>
      </c>
      <c r="D449" s="5" t="str">
        <f>VLOOKUP(C449,Sheet2!A:C,3,0)</f>
        <v>AFAQ Q Tech General Trading LLC-Amazon</v>
      </c>
    </row>
    <row r="450" spans="1:4" x14ac:dyDescent="0.3">
      <c r="A450" s="3">
        <v>7000032</v>
      </c>
      <c r="B450" s="3" t="s">
        <v>290</v>
      </c>
      <c r="C450" s="5">
        <v>7000032</v>
      </c>
      <c r="D450" s="5" t="str">
        <f>VLOOKUP(C450,Sheet2!A:C,3,0)</f>
        <v>Admiral Appliances &amp; Electro</v>
      </c>
    </row>
    <row r="451" spans="1:4" x14ac:dyDescent="0.3">
      <c r="A451" s="3">
        <v>1000876</v>
      </c>
      <c r="B451" s="3" t="s">
        <v>66</v>
      </c>
      <c r="C451" s="5">
        <v>1000876</v>
      </c>
      <c r="D451" s="5" t="str">
        <f>VLOOKUP(C451,Sheet2!A:C,3,0)</f>
        <v>Adawliah Company for Electronic App</v>
      </c>
    </row>
    <row r="452" spans="1:4" x14ac:dyDescent="0.3">
      <c r="A452" s="3">
        <v>3000469</v>
      </c>
      <c r="B452" s="3" t="s">
        <v>254</v>
      </c>
      <c r="C452" s="5">
        <v>3000469</v>
      </c>
      <c r="D452" s="5" t="str">
        <f>VLOOKUP(C452,Sheet2!A:C,3,0)</f>
        <v>ABYAT SAUDI BUIDLNG MATERRIALS COMP</v>
      </c>
    </row>
    <row r="453" spans="1:4" x14ac:dyDescent="0.3">
      <c r="A453" s="3">
        <v>1000946</v>
      </c>
      <c r="B453" s="3" t="s">
        <v>97</v>
      </c>
      <c r="C453" s="5">
        <v>1000946</v>
      </c>
      <c r="D453" s="5" t="str">
        <f>VLOOKUP(C453,Sheet2!A:C,3,0)</f>
        <v>ABRAJ ALWATANIA TRADING EST</v>
      </c>
    </row>
    <row r="454" spans="1:4" x14ac:dyDescent="0.3">
      <c r="A454" s="3">
        <v>1000982</v>
      </c>
      <c r="B454" s="3" t="s">
        <v>105</v>
      </c>
      <c r="C454" s="5">
        <v>1000982</v>
      </c>
      <c r="D454" s="5" t="str">
        <f>VLOOKUP(C454,Sheet2!A:C,3,0)</f>
        <v>Abdulrahman Mohammed AlMohaimid Tra</v>
      </c>
    </row>
    <row r="455" spans="1:4" x14ac:dyDescent="0.3">
      <c r="A455" s="3">
        <v>1000803</v>
      </c>
      <c r="B455" s="3" t="s">
        <v>45</v>
      </c>
      <c r="C455" s="5">
        <v>1000803</v>
      </c>
      <c r="D455" s="5" t="str">
        <f>VLOOKUP(C455,Sheet2!A:C,3,0)</f>
        <v>Abdullah Saleh Alsultan and Sons Co</v>
      </c>
    </row>
    <row r="456" spans="1:4" x14ac:dyDescent="0.3">
      <c r="A456" s="3">
        <v>1000938</v>
      </c>
      <c r="B456" s="3" t="s">
        <v>92</v>
      </c>
      <c r="C456" s="5">
        <v>1000803</v>
      </c>
      <c r="D456" s="5" t="str">
        <f>VLOOKUP(C456,Sheet2!A:C,3,0)</f>
        <v>Abdullah Saleh Alsultan and Sons Co</v>
      </c>
    </row>
    <row r="457" spans="1:4" x14ac:dyDescent="0.3">
      <c r="A457" s="3">
        <v>3000086</v>
      </c>
      <c r="B457" s="3" t="s">
        <v>223</v>
      </c>
      <c r="C457" s="5">
        <v>3000086</v>
      </c>
      <c r="D457" s="5" t="str">
        <f>VLOOKUP(C457,Sheet2!A:C,3,0)</f>
        <v>Abdullah Ali Al-Dhamin &amp; Sons Co.</v>
      </c>
    </row>
    <row r="458" spans="1:4" x14ac:dyDescent="0.3">
      <c r="A458" s="3">
        <v>1000932</v>
      </c>
      <c r="B458" s="3" t="s">
        <v>90</v>
      </c>
      <c r="C458" s="5">
        <v>1000932</v>
      </c>
      <c r="D458" s="5" t="str">
        <f>VLOOKUP(C458,Sheet2!A:C,3,0)</f>
        <v>Abdullah Al Othaim Markets Company</v>
      </c>
    </row>
    <row r="459" spans="1:4" x14ac:dyDescent="0.3">
      <c r="A459" s="3">
        <v>2000632</v>
      </c>
      <c r="B459" s="3" t="s">
        <v>192</v>
      </c>
      <c r="C459" s="5">
        <v>2000632</v>
      </c>
      <c r="D459" s="5" t="str">
        <f>VLOOKUP(C459,Sheet2!A:C,3,0)</f>
        <v>Abdullah Abdul Wahed AlGhamdi Tradi</v>
      </c>
    </row>
    <row r="460" spans="1:4" x14ac:dyDescent="0.3">
      <c r="A460" s="3">
        <v>1000205</v>
      </c>
      <c r="B460" s="3" t="s">
        <v>8</v>
      </c>
      <c r="C460" s="5">
        <v>1000205</v>
      </c>
      <c r="D460" s="5" t="str">
        <f>VLOOKUP(C460,Sheet2!A:C,3,0)</f>
        <v>Abdulla Al Hazlol Est, For Trd</v>
      </c>
    </row>
    <row r="461" spans="1:4" x14ac:dyDescent="0.3">
      <c r="A461" s="3">
        <v>1000809</v>
      </c>
      <c r="B461" s="3" t="s">
        <v>48</v>
      </c>
      <c r="C461" s="5">
        <v>1000809</v>
      </c>
      <c r="D461" s="5" t="str">
        <f>VLOOKUP(C461,Sheet2!A:C,3,0)</f>
        <v>Abdulaziz Hassan Alshethry Co.</v>
      </c>
    </row>
    <row r="462" spans="1:4" x14ac:dyDescent="0.3">
      <c r="A462" s="3">
        <v>2000618</v>
      </c>
      <c r="B462" s="3" t="s">
        <v>184</v>
      </c>
      <c r="C462" s="5">
        <v>2000618</v>
      </c>
      <c r="D462" s="5" t="str">
        <f>VLOOKUP(C462,Sheet2!A:C,3,0)</f>
        <v>ABDUL RAHMAN ABDUL HAAFEZ BIN SHAIH</v>
      </c>
    </row>
    <row r="463" spans="1:4" x14ac:dyDescent="0.3">
      <c r="A463" s="3">
        <v>1000882</v>
      </c>
      <c r="B463" s="3" t="s">
        <v>68</v>
      </c>
      <c r="C463" s="5">
        <v>1000882</v>
      </c>
      <c r="D463" s="5" t="str">
        <f>VLOOKUP(C463,Sheet2!A:C,3,0)</f>
        <v>Abdelrahman Abdelaziz Elhaqbani For</v>
      </c>
    </row>
    <row r="464" spans="1:4" x14ac:dyDescent="0.3">
      <c r="A464" s="3">
        <v>1000944</v>
      </c>
      <c r="B464" s="3" t="s">
        <v>95</v>
      </c>
      <c r="C464" s="5">
        <v>1000944</v>
      </c>
      <c r="D464" s="5" t="str">
        <f>VLOOKUP(C464,Sheet2!A:C,3,0)</f>
        <v>Abayat Saudi Building Materials Co</v>
      </c>
    </row>
    <row r="465" spans="1:4" x14ac:dyDescent="0.3">
      <c r="A465" s="3">
        <v>1000532</v>
      </c>
      <c r="B465" s="3" t="s">
        <v>16</v>
      </c>
      <c r="C465" s="5">
        <v>1000532</v>
      </c>
      <c r="D465" s="5" t="str">
        <f>VLOOKUP(C465,Sheet2!A:C,3,0)</f>
        <v>Abaad Al-Jeel Company for</v>
      </c>
    </row>
  </sheetData>
  <conditionalFormatting sqref="A2:A465">
    <cfRule type="duplicateValues" dxfId="1" priority="3"/>
  </conditionalFormatting>
  <conditionalFormatting sqref="C2:D465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>Al Faisaliah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Abid Qadri</dc:creator>
  <cp:lastModifiedBy>Bilal Zafar Iqbal</cp:lastModifiedBy>
  <dcterms:created xsi:type="dcterms:W3CDTF">2025-07-08T07:49:24Z</dcterms:created>
  <dcterms:modified xsi:type="dcterms:W3CDTF">2025-09-02T05:17:09Z</dcterms:modified>
</cp:coreProperties>
</file>